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drawings/drawing1.xml" ContentType="application/vnd.openxmlformats-officedocument.drawing+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916" firstSheet="0" activeTab="1" autoFilterDateGrouping="1"/>
  </bookViews>
  <sheets>
    <sheet xmlns:r="http://schemas.openxmlformats.org/officeDocument/2006/relationships" name="輸入" sheetId="1" state="visible" r:id="rId1"/>
    <sheet xmlns:r="http://schemas.openxmlformats.org/officeDocument/2006/relationships" name="word用" sheetId="2" state="visible" r:id="rId2"/>
    <sheet xmlns:r="http://schemas.openxmlformats.org/officeDocument/2006/relationships" name="下拉用" sheetId="3" state="visible" r:id="rId3"/>
    <sheet xmlns:r="http://schemas.openxmlformats.org/officeDocument/2006/relationships" name="調閱用" sheetId="4" state="visible" r:id="rId4"/>
    <sheet xmlns:r="http://schemas.openxmlformats.org/officeDocument/2006/relationships" name="報獎條陳" sheetId="5" state="visible" r:id="rId5"/>
    <sheet xmlns:r="http://schemas.openxmlformats.org/officeDocument/2006/relationships" name="線上立破通報單" sheetId="6" state="hidden" r:id="rId6"/>
    <sheet xmlns:r="http://schemas.openxmlformats.org/officeDocument/2006/relationships" name="呈報單" sheetId="7" state="visible" r:id="rId7"/>
    <sheet xmlns:r="http://schemas.openxmlformats.org/officeDocument/2006/relationships" name="監視檢核表" sheetId="8" state="hidden" r:id="rId8"/>
    <sheet xmlns:r="http://schemas.openxmlformats.org/officeDocument/2006/relationships" name="行政陳報單" sheetId="9" state="visible" r:id="rId9"/>
    <sheet xmlns:r="http://schemas.openxmlformats.org/officeDocument/2006/relationships" name="調閱呈報單" sheetId="10" state="visible" r:id="rId10"/>
    <sheet xmlns:r="http://schemas.openxmlformats.org/officeDocument/2006/relationships" name="調閱監視器(所)" sheetId="11" state="hidden" r:id="rId11"/>
    <sheet xmlns:r="http://schemas.openxmlformats.org/officeDocument/2006/relationships" name="權利" sheetId="12" state="hidden" r:id="rId12"/>
    <sheet xmlns:r="http://schemas.openxmlformats.org/officeDocument/2006/relationships" name="夜訊" sheetId="13" state="hidden" r:id="rId13"/>
    <sheet xmlns:r="http://schemas.openxmlformats.org/officeDocument/2006/relationships" name="發傳喚通知" sheetId="14" state="visible" r:id="rId14"/>
    <sheet xmlns:r="http://schemas.openxmlformats.org/officeDocument/2006/relationships" name="本人" sheetId="15" state="visible" r:id="rId15"/>
    <sheet xmlns:r="http://schemas.openxmlformats.org/officeDocument/2006/relationships" name="親友" sheetId="16" state="visible" r:id="rId16"/>
    <sheet xmlns:r="http://schemas.openxmlformats.org/officeDocument/2006/relationships" name="提審新" sheetId="17" state="visible" r:id="rId17"/>
    <sheet xmlns:r="http://schemas.openxmlformats.org/officeDocument/2006/relationships" name="入出所" sheetId="18" state="hidden" r:id="rId18"/>
    <sheet xmlns:r="http://schemas.openxmlformats.org/officeDocument/2006/relationships" name="法扶(114)" sheetId="19" state="visible" r:id="rId19"/>
    <sheet xmlns:r="http://schemas.openxmlformats.org/officeDocument/2006/relationships" name="酒測單" sheetId="20" state="visible" r:id="rId20"/>
    <sheet xmlns:r="http://schemas.openxmlformats.org/officeDocument/2006/relationships" name="委託書" sheetId="21" state="hidden" r:id="rId21"/>
    <sheet xmlns:r="http://schemas.openxmlformats.org/officeDocument/2006/relationships" name="酒扣領據" sheetId="22" state="hidden" r:id="rId22"/>
    <sheet xmlns:r="http://schemas.openxmlformats.org/officeDocument/2006/relationships" name="銷毀同意書" sheetId="23" state="hidden" r:id="rId23"/>
    <sheet xmlns:r="http://schemas.openxmlformats.org/officeDocument/2006/relationships" name="鑑驗書" sheetId="24" state="hidden" r:id="rId24"/>
    <sheet xmlns:r="http://schemas.openxmlformats.org/officeDocument/2006/relationships" name="檢體監管紀錄表" sheetId="25" state="hidden" r:id="rId25"/>
    <sheet xmlns:r="http://schemas.openxmlformats.org/officeDocument/2006/relationships" name="自願受採尿同意書" sheetId="26" state="hidden" r:id="rId26"/>
    <sheet xmlns:r="http://schemas.openxmlformats.org/officeDocument/2006/relationships" name="毒品相片紀錄" sheetId="27" state="hidden" r:id="rId27"/>
    <sheet xmlns:r="http://schemas.openxmlformats.org/officeDocument/2006/relationships" name="案件管制表" sheetId="28" state="hidden" r:id="rId28"/>
    <sheet xmlns:r="http://schemas.openxmlformats.org/officeDocument/2006/relationships" name="呈報單 多人" sheetId="29" state="visible" r:id="rId29"/>
    <sheet xmlns:r="http://schemas.openxmlformats.org/officeDocument/2006/relationships" name="3.4級毒品通報單" sheetId="30" state="hidden" r:id="rId30"/>
    <sheet xmlns:r="http://schemas.openxmlformats.org/officeDocument/2006/relationships" name="捨棄聲明" sheetId="31" state="hidden" r:id="rId31"/>
    <sheet xmlns:r="http://schemas.openxmlformats.org/officeDocument/2006/relationships" name="捨棄抗告" sheetId="32" state="hidden" r:id="rId32"/>
    <sheet xmlns:r="http://schemas.openxmlformats.org/officeDocument/2006/relationships" name="送達新" sheetId="33" state="hidden" r:id="rId33"/>
    <sheet xmlns:r="http://schemas.openxmlformats.org/officeDocument/2006/relationships" name="送達" sheetId="34" state="hidden" r:id="rId34"/>
    <sheet xmlns:r="http://schemas.openxmlformats.org/officeDocument/2006/relationships" name="手機" sheetId="35" state="visible" r:id="rId35"/>
    <sheet xmlns:r="http://schemas.openxmlformats.org/officeDocument/2006/relationships" name="送驗記錄" sheetId="36" state="hidden" r:id="rId36"/>
    <sheet xmlns:r="http://schemas.openxmlformats.org/officeDocument/2006/relationships" name="少年關懷" sheetId="37" state="hidden" r:id="rId37"/>
    <sheet xmlns:r="http://schemas.openxmlformats.org/officeDocument/2006/relationships" name="電訪" sheetId="38" state="hidden" r:id="rId38"/>
    <sheet xmlns:r="http://schemas.openxmlformats.org/officeDocument/2006/relationships" name="12歲" sheetId="39" state="hidden" r:id="rId39"/>
    <sheet xmlns:r="http://schemas.openxmlformats.org/officeDocument/2006/relationships" name="通聯紀錄表" sheetId="40" state="hidden" r:id="rId40"/>
    <sheet xmlns:r="http://schemas.openxmlformats.org/officeDocument/2006/relationships" name="救護資料申請書" sheetId="41" state="hidden" r:id="rId41"/>
    <sheet xmlns:r="http://schemas.openxmlformats.org/officeDocument/2006/relationships" name="法扶107版" sheetId="42" state="hidden" r:id="rId42"/>
    <sheet xmlns:r="http://schemas.openxmlformats.org/officeDocument/2006/relationships" name="外勞" sheetId="43" state="hidden" r:id="rId43"/>
    <sheet xmlns:r="http://schemas.openxmlformats.org/officeDocument/2006/relationships" name="法扶" sheetId="44" state="hidden" r:id="rId44"/>
    <sheet xmlns:r="http://schemas.openxmlformats.org/officeDocument/2006/relationships" name="贓物認領" sheetId="45" state="visible" r:id="rId45"/>
    <sheet xmlns:r="http://schemas.openxmlformats.org/officeDocument/2006/relationships" name="績效獎勵金" sheetId="46" state="visible" r:id="rId46"/>
    <sheet xmlns:r="http://schemas.openxmlformats.org/officeDocument/2006/relationships" name="被害人筆錄" sheetId="47" state="visible" r:id="rId47"/>
    <sheet xmlns:r="http://schemas.openxmlformats.org/officeDocument/2006/relationships" name="涉嫌人筆錄" sheetId="48" state="visible" r:id="rId48"/>
    <sheet xmlns:r="http://schemas.openxmlformats.org/officeDocument/2006/relationships" name="證人筆錄" sheetId="49" state="visible" r:id="rId49"/>
    <sheet xmlns:r="http://schemas.openxmlformats.org/officeDocument/2006/relationships" name="相片用" sheetId="50" state="hidden" r:id="rId50"/>
    <sheet xmlns:r="http://schemas.openxmlformats.org/officeDocument/2006/relationships" name="酒測相片紀錄" sheetId="51" state="hidden" r:id="rId51"/>
    <sheet xmlns:r="http://schemas.openxmlformats.org/officeDocument/2006/relationships" name="封面" sheetId="52" state="hidden" r:id="rId52"/>
    <sheet xmlns:r="http://schemas.openxmlformats.org/officeDocument/2006/relationships" name="詐欺用檢核表" sheetId="53" state="hidden" r:id="rId53"/>
  </sheets>
  <externalReferences>
    <externalReference xmlns:r="http://schemas.openxmlformats.org/officeDocument/2006/relationships" r:id="rId54"/>
  </externalReferences>
  <definedNames>
    <definedName name="人別">下拉用!$C$2:$C$8</definedName>
    <definedName name="有無涉嫌人">下拉用!$D$2:$D$3</definedName>
    <definedName name="姓名">OFFSET(下拉用!$Y$3,,,MAX(下拉用!$W$3:$W$11))</definedName>
    <definedName name="個資">輸入!$B$17:$Q$26</definedName>
    <definedName name="案由">調閱用!$1:$1</definedName>
    <definedName name="涉嫌人筆錄">涉嫌人筆錄!$1:$1048576</definedName>
    <definedName name="被害人筆錄">被害人筆錄!$1:$1048576</definedName>
    <definedName name="筆錄">[1]下拉用!$A:$T</definedName>
    <definedName name="證人筆錄">證人筆錄!$1:$1048576</definedName>
    <definedName name="人別" localSheetId="13">下拉用!$C$2:$C$8</definedName>
    <definedName name="有無涉嫌人" localSheetId="13">下拉用!$D$2:$D$3</definedName>
    <definedName name="姓名" localSheetId="13">OFFSET(下拉用!$Y$3,,,MAX(下拉用!$W$3:$W$11))</definedName>
    <definedName name="個資" localSheetId="13">輸入!$B$17:$Q$26</definedName>
    <definedName name="案由" localSheetId="13">下拉用!$I:$L</definedName>
    <definedName name="_xlnm.Print_Area" localSheetId="17">'入出所'!$A$1:$R$48</definedName>
  </definedNames>
  <calcPr calcId="191029" calcMode="auto" fullCalcOnLoad="1" forceFullCalc="1"/>
</workbook>
</file>

<file path=xl/styles.xml><?xml version="1.0" encoding="utf-8"?>
<styleSheet xmlns="http://schemas.openxmlformats.org/spreadsheetml/2006/main">
  <numFmts count="12">
    <numFmt numFmtId="164" formatCode="000&quot;年&quot;00&quot;月&quot;00&quot;日&quot;00&quot;時&quot;00&quot;分&quot;"/>
    <numFmt numFmtId="165" formatCode="00000000000"/>
    <numFmt numFmtId="166" formatCode="0000000000"/>
    <numFmt numFmtId="167" formatCode="000&quot;年&quot;00&quot;月&quot;00&quot;日&quot;"/>
    <numFmt numFmtId="168" formatCode="00"/>
    <numFmt numFmtId="169" formatCode="0.00_);\(0.00\)"/>
    <numFmt numFmtId="170" formatCode="[$-404]ggge&quot;年&quot;m&quot;月&quot;d&quot;日&quot;;@"/>
    <numFmt numFmtId="171" formatCode="h:mm;@"/>
    <numFmt numFmtId="172" formatCode="[$-404]e/m/d;@"/>
    <numFmt numFmtId="173" formatCode="[$-404]e&quot;年&quot;m&quot;月&quot;d&quot;日&quot;;@"/>
    <numFmt numFmtId="174" formatCode="00&quot;時&quot;00&quot;分&quot;"/>
    <numFmt numFmtId="175" formatCode="[&gt;99999999]0000\-000\-000;000\-000\-000"/>
  </numFmts>
  <fonts count="115">
    <font>
      <name val="新細明體"/>
      <charset val="136"/>
      <family val="2"/>
      <color theme="1"/>
      <sz val="12"/>
      <scheme val="minor"/>
    </font>
    <font>
      <name val="新細明體"/>
      <charset val="136"/>
      <family val="2"/>
      <sz val="9"/>
      <scheme val="minor"/>
    </font>
    <font>
      <name val="標楷體"/>
      <charset val="136"/>
      <family val="4"/>
      <sz val="14"/>
    </font>
    <font>
      <name val="標楷體"/>
      <charset val="136"/>
      <family val="4"/>
      <b val="1"/>
      <sz val="14"/>
    </font>
    <font>
      <name val="標楷體"/>
      <charset val="136"/>
      <family val="4"/>
      <b val="1"/>
      <sz val="24"/>
    </font>
    <font>
      <name val="標楷體"/>
      <charset val="136"/>
      <family val="4"/>
      <color theme="1"/>
      <sz val="12"/>
    </font>
    <font>
      <name val="標楷體"/>
      <charset val="136"/>
      <family val="4"/>
      <color theme="1"/>
      <sz val="14"/>
    </font>
    <font>
      <name val="標楷體"/>
      <charset val="136"/>
      <family val="4"/>
      <color theme="1"/>
      <sz val="18"/>
    </font>
    <font>
      <name val="Times New Roman"/>
      <family val="1"/>
      <color theme="1"/>
      <sz val="14"/>
    </font>
    <font>
      <name val="標楷體"/>
      <charset val="136"/>
      <family val="4"/>
      <color theme="1"/>
      <sz val="26"/>
    </font>
    <font>
      <name val="標楷體"/>
      <charset val="136"/>
      <family val="4"/>
      <color theme="1"/>
      <sz val="22"/>
    </font>
    <font>
      <name val="標楷體"/>
      <charset val="136"/>
      <family val="4"/>
      <color theme="1"/>
      <sz val="20"/>
    </font>
    <font>
      <name val="Times New Roman"/>
      <family val="1"/>
      <color theme="1"/>
      <sz val="16"/>
    </font>
    <font>
      <name val="標楷體"/>
      <charset val="136"/>
      <family val="4"/>
      <color theme="1"/>
      <sz val="24"/>
    </font>
    <font>
      <name val="Times New Roman"/>
      <family val="1"/>
      <color theme="1"/>
      <sz val="26"/>
    </font>
    <font>
      <name val="標楷體"/>
      <charset val="136"/>
      <family val="4"/>
      <b val="1"/>
      <color theme="1"/>
      <sz val="28"/>
    </font>
    <font>
      <name val="標楷體"/>
      <charset val="136"/>
      <family val="4"/>
      <color theme="1"/>
      <sz val="28"/>
    </font>
    <font>
      <name val="標楷體"/>
      <charset val="136"/>
      <family val="4"/>
      <color theme="1"/>
      <sz val="36"/>
    </font>
    <font>
      <name val="Times New Roman"/>
      <family val="1"/>
      <color theme="1"/>
      <sz val="36"/>
    </font>
    <font>
      <name val="標楷體"/>
      <charset val="136"/>
      <family val="4"/>
      <color theme="1"/>
      <sz val="48"/>
    </font>
    <font>
      <name val="新細明體"/>
      <charset val="136"/>
      <family val="1"/>
      <sz val="12"/>
    </font>
    <font>
      <name val="標楷體"/>
      <charset val="136"/>
      <family val="4"/>
      <sz val="12"/>
    </font>
    <font>
      <name val="標楷體"/>
      <charset val="136"/>
      <family val="4"/>
      <sz val="22"/>
    </font>
    <font>
      <name val="標楷體"/>
      <charset val="136"/>
      <family val="4"/>
      <b val="1"/>
      <sz val="32"/>
    </font>
    <font>
      <name val="標楷體"/>
      <charset val="136"/>
      <family val="4"/>
      <b val="1"/>
      <color theme="1"/>
      <sz val="12"/>
    </font>
    <font>
      <name val="標楷體"/>
      <charset val="136"/>
      <family val="4"/>
      <color theme="1" tint="0.0499893185216834"/>
      <sz val="12"/>
    </font>
    <font>
      <name val="標楷體"/>
      <charset val="136"/>
      <family val="4"/>
      <b val="1"/>
      <color theme="1"/>
      <sz val="16"/>
    </font>
    <font>
      <name val="標楷體"/>
      <charset val="136"/>
      <family val="4"/>
      <b val="1"/>
      <color theme="1"/>
      <sz val="18"/>
    </font>
    <font>
      <name val="Times New Roman"/>
      <family val="1"/>
      <b val="1"/>
      <color theme="1"/>
      <sz val="18"/>
    </font>
    <font>
      <name val="Times New Roman"/>
      <family val="1"/>
      <b val="1"/>
      <color theme="1"/>
      <sz val="12"/>
    </font>
    <font>
      <name val="標楷體"/>
      <charset val="136"/>
      <family val="4"/>
      <color theme="1"/>
      <sz val="16"/>
    </font>
    <font>
      <name val="標楷體"/>
      <charset val="136"/>
      <family val="4"/>
      <b val="1"/>
      <color theme="1"/>
      <sz val="14"/>
    </font>
    <font>
      <name val="Times New Roman"/>
      <family val="1"/>
      <color theme="1"/>
      <sz val="18"/>
    </font>
    <font>
      <name val="標楷體"/>
      <charset val="136"/>
      <family val="4"/>
      <b val="1"/>
      <color theme="1"/>
      <sz val="20"/>
    </font>
    <font>
      <name val="標楷體"/>
      <charset val="136"/>
      <family val="4"/>
      <color theme="1"/>
      <sz val="11"/>
    </font>
    <font>
      <name val="Times New Roman"/>
      <charset val="136"/>
      <family val="4"/>
      <b val="1"/>
      <color theme="1"/>
      <sz val="12"/>
    </font>
    <font>
      <name val="新細明體"/>
      <charset val="136"/>
      <family val="2"/>
      <b val="1"/>
      <color theme="1"/>
      <sz val="12"/>
      <scheme val="minor"/>
    </font>
    <font>
      <name val="標楷體"/>
      <charset val="136"/>
      <family val="4"/>
      <color theme="1"/>
      <sz val="10"/>
    </font>
    <font>
      <name val="新細明體"/>
      <charset val="136"/>
      <family val="1"/>
      <i val="1"/>
      <sz val="12"/>
    </font>
    <font>
      <name val="Times New Roman"/>
      <family val="1"/>
      <color theme="1"/>
      <sz val="12"/>
    </font>
    <font>
      <name val="新細明體"/>
      <charset val="136"/>
      <family val="2"/>
      <color theme="1"/>
      <sz val="22"/>
      <scheme val="minor"/>
    </font>
    <font>
      <name val="Times New Roman"/>
      <family val="1"/>
      <color theme="1"/>
      <sz val="3"/>
    </font>
    <font>
      <name val="Times New Roman"/>
      <family val="1"/>
      <color theme="1"/>
      <sz val="10"/>
    </font>
    <font>
      <name val="標楷體"/>
      <charset val="136"/>
      <family val="4"/>
      <color rgb="FF000000"/>
      <sz val="12"/>
    </font>
    <font>
      <name val="標楷體"/>
      <charset val="136"/>
      <family val="4"/>
      <color rgb="FF000000"/>
      <sz val="10"/>
    </font>
    <font>
      <name val="標楷體"/>
      <charset val="136"/>
      <family val="4"/>
      <color rgb="FFFF0000"/>
      <sz val="12"/>
    </font>
    <font>
      <name val="標楷體"/>
      <charset val="136"/>
      <family val="4"/>
      <b val="1"/>
      <color theme="1"/>
      <sz val="17"/>
    </font>
    <font>
      <name val="標楷體"/>
      <charset val="136"/>
      <family val="4"/>
      <color theme="1"/>
      <sz val="11.5"/>
    </font>
    <font>
      <name val="新細明體"/>
      <charset val="136"/>
      <family val="1"/>
      <b val="1"/>
      <color theme="1"/>
      <sz val="12"/>
      <scheme val="minor"/>
    </font>
    <font>
      <name val="標楷體"/>
      <charset val="136"/>
      <family val="4"/>
      <color theme="1"/>
      <sz val="9"/>
    </font>
    <font>
      <name val="標楷體"/>
      <charset val="136"/>
      <family val="4"/>
      <b val="1"/>
      <color theme="1"/>
      <sz val="22"/>
    </font>
    <font>
      <name val="新細明體"/>
      <charset val="136"/>
      <family val="2"/>
      <color theme="1"/>
      <sz val="24"/>
      <scheme val="minor"/>
    </font>
    <font>
      <name val="標楷體"/>
      <charset val="136"/>
      <family val="4"/>
      <b val="1"/>
      <color theme="1"/>
      <sz val="48"/>
    </font>
    <font>
      <name val="標楷體"/>
      <charset val="136"/>
      <family val="4"/>
      <color rgb="FF000000"/>
      <sz val="14"/>
    </font>
    <font>
      <name val="標楷體"/>
      <charset val="136"/>
      <family val="4"/>
      <b val="1"/>
      <color theme="1"/>
      <sz val="26"/>
    </font>
    <font>
      <name val="標楷體"/>
      <charset val="136"/>
      <family val="4"/>
      <sz val="16"/>
    </font>
    <font>
      <name val="Times New Roman"/>
      <family val="1"/>
      <b val="1"/>
      <color theme="1"/>
      <sz val="11"/>
    </font>
    <font>
      <name val="標楷體"/>
      <charset val="136"/>
      <family val="4"/>
      <b val="1"/>
      <color theme="1"/>
      <sz val="11"/>
    </font>
    <font>
      <name val="Times New Roman"/>
      <family val="1"/>
      <b val="1"/>
      <color theme="1"/>
      <sz val="14"/>
    </font>
    <font>
      <name val="Times New Roman"/>
      <charset val="136"/>
      <family val="4"/>
      <color theme="1"/>
      <sz val="12"/>
    </font>
    <font>
      <name val="新細明體"/>
      <charset val="136"/>
      <family val="1"/>
      <color theme="1"/>
      <sz val="12"/>
    </font>
    <font>
      <name val="Calibri"/>
      <family val="2"/>
      <color theme="1"/>
      <sz val="12"/>
    </font>
    <font>
      <name val="標楷體"/>
      <charset val="136"/>
      <family val="4"/>
      <b val="1"/>
      <color theme="1"/>
      <sz val="8"/>
    </font>
    <font>
      <name val="標楷體"/>
      <charset val="136"/>
      <family val="4"/>
      <b val="1"/>
      <color theme="1"/>
      <sz val="14"/>
      <u val="single"/>
    </font>
    <font>
      <name val="標楷體"/>
      <charset val="136"/>
      <family val="4"/>
      <b val="1"/>
      <color rgb="FF000000"/>
      <sz val="12"/>
    </font>
    <font>
      <name val="標楷體"/>
      <charset val="136"/>
      <family val="4"/>
      <b val="1"/>
      <color theme="1"/>
      <sz val="9"/>
    </font>
    <font>
      <name val="Times New Roman"/>
      <family val="1"/>
      <b val="1"/>
      <color theme="1"/>
      <sz val="14"/>
      <u val="single"/>
    </font>
    <font>
      <name val="Times New Roman"/>
      <family val="1"/>
      <b val="1"/>
      <color theme="1"/>
      <sz val="16"/>
    </font>
    <font>
      <name val="標楷體"/>
      <charset val="136"/>
      <family val="4"/>
      <b val="1"/>
      <color theme="1"/>
      <sz val="13"/>
    </font>
    <font>
      <name val="標楷體"/>
      <charset val="136"/>
      <family val="4"/>
      <color theme="1"/>
      <sz val="8"/>
    </font>
    <font>
      <name val="標楷體"/>
      <charset val="136"/>
      <family val="4"/>
      <b val="1"/>
      <color theme="1"/>
      <sz val="13.5"/>
    </font>
    <font>
      <name val="新細明體"/>
      <charset val="136"/>
      <family val="2"/>
      <color theme="10"/>
      <sz val="12"/>
      <u val="single"/>
      <scheme val="minor"/>
    </font>
    <font>
      <name val="標楷體"/>
      <charset val="136"/>
      <family val="4"/>
      <color theme="1"/>
      <sz val="13"/>
    </font>
    <font>
      <name val="Times New Roman"/>
      <family val="1"/>
      <color rgb="FF000000"/>
      <sz val="10"/>
    </font>
    <font>
      <name val="標楷體"/>
      <charset val="136"/>
      <family val="4"/>
      <b val="1"/>
      <color rgb="FF000000"/>
      <sz val="14"/>
    </font>
    <font>
      <name val="標楷體"/>
      <charset val="136"/>
      <family val="4"/>
      <sz val="11"/>
    </font>
    <font>
      <name val="新細明體"/>
      <charset val="136"/>
      <family val="1"/>
      <color theme="1"/>
      <sz val="10"/>
    </font>
    <font>
      <name val="新細明體"/>
      <charset val="136"/>
      <family val="1"/>
      <b val="1"/>
      <color theme="1"/>
      <sz val="12"/>
    </font>
    <font>
      <name val="Webdings"/>
      <charset val="2"/>
      <family val="1"/>
      <color rgb="FF000000"/>
      <sz val="9"/>
    </font>
    <font>
      <name val="Webdings"/>
      <charset val="2"/>
      <family val="1"/>
      <color rgb="FF000000"/>
      <sz val="10"/>
    </font>
    <font>
      <name val="Webdings"/>
      <charset val="2"/>
      <family val="1"/>
      <color theme="1"/>
      <sz val="9"/>
    </font>
    <font>
      <name val="Webdings"/>
      <charset val="2"/>
      <family val="1"/>
      <color theme="1"/>
      <sz val="10"/>
    </font>
    <font>
      <name val="新細明體"/>
      <charset val="136"/>
      <family val="1"/>
      <b val="1"/>
      <color theme="0"/>
      <sz val="12"/>
    </font>
    <font>
      <name val="新細明體"/>
      <charset val="136"/>
      <family val="1"/>
      <color rgb="FFFF0000"/>
      <sz val="10"/>
    </font>
    <font>
      <name val="新細明體"/>
      <charset val="136"/>
      <family val="1"/>
      <color rgb="FFFF0000"/>
      <sz val="12"/>
    </font>
    <font>
      <name val="新細明體"/>
      <charset val="136"/>
      <family val="1"/>
      <color rgb="FF0000FF"/>
      <sz val="12"/>
    </font>
    <font>
      <name val="新細明體"/>
      <charset val="136"/>
      <family val="1"/>
      <b val="1"/>
      <color theme="1"/>
      <sz val="14"/>
    </font>
    <font>
      <name val="新細明體"/>
      <charset val="136"/>
      <family val="2"/>
      <color theme="10"/>
      <sz val="10"/>
      <u val="single"/>
      <scheme val="minor"/>
    </font>
    <font>
      <name val="Times New Roman"/>
      <family val="1"/>
      <color rgb="FF0000CC"/>
      <sz val="12"/>
    </font>
    <font>
      <name val="標楷體"/>
      <charset val="136"/>
      <family val="4"/>
      <color rgb="FFFF0000"/>
      <sz val="14"/>
    </font>
    <font>
      <name val="標楷體"/>
      <charset val="136"/>
      <family val="4"/>
      <b val="1"/>
      <color rgb="FF0000CC"/>
      <sz val="16"/>
    </font>
    <font>
      <name val="標楷體"/>
      <charset val="136"/>
      <family val="4"/>
      <color rgb="FF0070C0"/>
      <sz val="16"/>
    </font>
    <font>
      <name val="標楷體"/>
      <charset val="136"/>
      <family val="4"/>
      <color theme="1"/>
      <sz val="17"/>
    </font>
    <font>
      <name val="標楷體"/>
      <charset val="136"/>
      <family val="4"/>
      <color rgb="FF000000"/>
      <sz val="20"/>
    </font>
    <font>
      <name val="標楷體"/>
      <charset val="136"/>
      <family val="4"/>
      <color rgb="FFFF0000"/>
      <sz val="8"/>
    </font>
    <font>
      <name val="標楷體"/>
      <charset val="136"/>
      <family val="4"/>
      <color rgb="FFFF0000"/>
      <sz val="7"/>
    </font>
    <font>
      <name val="標楷體"/>
      <charset val="136"/>
      <family val="4"/>
      <sz val="10"/>
    </font>
    <font>
      <name val="標楷體"/>
      <charset val="136"/>
      <family val="4"/>
      <b val="1"/>
      <sz val="12"/>
    </font>
    <font>
      <name val="標楷體"/>
      <charset val="136"/>
      <family val="4"/>
      <b val="1"/>
      <sz val="10"/>
    </font>
    <font>
      <name val="標楷體"/>
      <charset val="136"/>
      <family val="4"/>
      <sz val="8"/>
    </font>
    <font>
      <name val="標楷體"/>
      <charset val="136"/>
      <family val="4"/>
      <sz val="9"/>
    </font>
    <font>
      <name val="標楷體"/>
      <charset val="136"/>
      <family val="4"/>
      <b val="1"/>
      <sz val="20"/>
    </font>
    <font>
      <name val="Times New Roman"/>
      <charset val="136"/>
      <family val="1"/>
      <b val="1"/>
      <color theme="1"/>
      <sz val="14"/>
    </font>
    <font>
      <name val="新細明體"/>
      <charset val="136"/>
      <family val="1"/>
      <color theme="1"/>
      <sz val="14"/>
      <scheme val="minor"/>
    </font>
    <font>
      <name val="微軟正黑體"/>
      <charset val="136"/>
      <family val="2"/>
      <color rgb="FF000000"/>
      <sz val="11"/>
    </font>
    <font>
      <name val="微軟正黑體"/>
      <charset val="136"/>
      <family val="2"/>
      <color theme="1"/>
      <sz val="12"/>
    </font>
    <font>
      <name val="微軟正黑體"/>
      <charset val="136"/>
      <family val="1"/>
      <b val="1"/>
      <color theme="1"/>
      <sz val="14"/>
      <u val="single"/>
    </font>
    <font>
      <name val="標楷體"/>
      <charset val="136"/>
      <family val="4"/>
      <b val="1"/>
      <color rgb="FF000000"/>
      <sz val="10"/>
    </font>
    <font>
      <name val="標楷體"/>
      <charset val="136"/>
      <family val="4"/>
      <b val="1"/>
      <color rgb="FF000000"/>
      <sz val="10.5"/>
    </font>
    <font>
      <name val="標楷體"/>
      <charset val="136"/>
      <family val="4"/>
      <b val="1"/>
      <color rgb="FF000000"/>
      <sz val="11"/>
    </font>
    <font>
      <name val="Arial"/>
      <family val="2"/>
      <color rgb="FF343434"/>
      <sz val="12"/>
    </font>
    <font>
      <name val="微軟正黑體"/>
      <charset val="136"/>
      <family val="2"/>
      <color rgb="FF343434"/>
      <sz val="12"/>
    </font>
    <font>
      <name val="標楷體"/>
      <charset val="136"/>
      <family val="4"/>
      <color rgb="FF000000"/>
      <sz val="16"/>
    </font>
    <font>
      <name val="新細明體"/>
      <charset val="136"/>
      <family val="1"/>
      <b val="1"/>
      <color rgb="FFFFFFFF"/>
      <sz val="12"/>
    </font>
    <font>
      <name val="新細明體"/>
      <charset val="136"/>
      <family val="1"/>
      <color rgb="FF000000"/>
      <sz val="12"/>
      <scheme val="minor"/>
    </font>
  </fonts>
  <fills count="24">
    <fill>
      <patternFill/>
    </fill>
    <fill>
      <patternFill patternType="gray125"/>
    </fill>
    <fill>
      <patternFill patternType="solid">
        <fgColor rgb="FFFFC000"/>
        <bgColor indexed="64"/>
      </patternFill>
    </fill>
    <fill>
      <patternFill patternType="solid">
        <fgColor theme="9" tint="0.3999755851924192"/>
        <bgColor indexed="64"/>
      </patternFill>
    </fill>
    <fill>
      <patternFill patternType="solid">
        <fgColor theme="5" tint="0.3999755851924192"/>
        <bgColor indexed="64"/>
      </patternFill>
    </fill>
    <fill>
      <patternFill patternType="solid">
        <fgColor theme="0"/>
        <bgColor indexed="64"/>
      </patternFill>
    </fill>
    <fill>
      <patternFill patternType="solid">
        <fgColor theme="7"/>
        <bgColor indexed="64"/>
      </patternFill>
    </fill>
    <fill>
      <patternFill patternType="solid">
        <fgColor theme="4" tint="0.5999938962981048"/>
        <bgColor indexed="64"/>
      </patternFill>
    </fill>
    <fill>
      <patternFill patternType="solid">
        <fgColor theme="9"/>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rgb="FFF2F2F2"/>
        <bgColor indexed="64"/>
      </patternFill>
    </fill>
    <fill>
      <patternFill patternType="solid">
        <fgColor rgb="FFBFBFBF"/>
        <bgColor indexed="64"/>
      </patternFill>
    </fill>
    <fill>
      <patternFill patternType="solid">
        <fgColor rgb="FFFFFFFF"/>
        <bgColor indexed="64"/>
      </patternFill>
    </fill>
    <fill>
      <patternFill patternType="solid">
        <fgColor rgb="FFD9D9D9"/>
        <bgColor indexed="64"/>
      </patternFill>
    </fill>
    <fill>
      <patternFill patternType="solid">
        <fgColor rgb="FF0C0C0C"/>
        <bgColor indexed="64"/>
      </patternFill>
    </fill>
    <fill>
      <patternFill patternType="solid">
        <fgColor rgb="FFE0E0E0"/>
        <bgColor indexed="64"/>
      </patternFill>
    </fill>
    <fill>
      <patternFill patternType="solid">
        <fgColor theme="0" tint="-0.1499984740745262"/>
        <bgColor indexed="64"/>
      </patternFill>
    </fill>
    <fill>
      <patternFill patternType="solid">
        <fgColor theme="7" tint="0.5999938962981048"/>
        <bgColor indexed="64"/>
      </patternFill>
    </fill>
    <fill>
      <patternFill patternType="solid">
        <fgColor theme="6" tint="0.3999755851924192"/>
        <bgColor indexed="64"/>
      </patternFill>
    </fill>
    <fill>
      <patternFill patternType="solid">
        <fgColor theme="8" tint="0.7999816888943144"/>
        <bgColor indexed="64"/>
      </patternFill>
    </fill>
    <fill>
      <patternFill patternType="solid">
        <fgColor theme="2"/>
        <bgColor indexed="64"/>
      </patternFill>
    </fill>
    <fill>
      <patternFill patternType="solid">
        <fgColor rgb="FF4F81BD"/>
        <bgColor rgb="FF4F81BD"/>
      </patternFill>
    </fill>
    <fill>
      <patternFill patternType="solid">
        <fgColor rgb="FFFFF2CC"/>
        <bgColor rgb="FFFFF2CC"/>
      </patternFill>
    </fill>
  </fills>
  <borders count="308">
    <border>
      <left/>
      <right/>
      <top/>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style="mediumDashed">
        <color indexed="64"/>
      </right>
      <top/>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top/>
      <bottom style="thin">
        <color indexed="64"/>
      </bottom>
      <diagonal/>
    </border>
    <border>
      <left/>
      <right style="thin">
        <color indexed="64"/>
      </right>
      <top/>
      <bottom/>
      <diagonal/>
    </border>
    <border>
      <left style="double">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right/>
      <top style="double">
        <color indexed="64"/>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top/>
      <bottom/>
      <diagonal/>
    </border>
    <border>
      <left style="thin">
        <color indexed="64"/>
      </left>
      <right style="thin">
        <color indexed="64"/>
      </right>
      <top/>
      <bottom/>
      <diagonal/>
    </border>
    <border>
      <left/>
      <right style="thick">
        <color indexed="64"/>
      </right>
      <top/>
      <bottom style="thick">
        <color indexed="64"/>
      </bottom>
      <diagonal/>
    </border>
    <border>
      <left/>
      <right style="medium">
        <color indexed="64"/>
      </right>
      <top/>
      <bottom style="thick">
        <color indexed="64"/>
      </bottom>
      <diagonal/>
    </border>
    <border>
      <left style="thick">
        <color indexed="64"/>
      </left>
      <right style="medium">
        <color indexed="64"/>
      </right>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medium">
        <color indexed="64"/>
      </right>
      <top style="thick">
        <color indexed="64"/>
      </top>
      <bottom style="thick">
        <color indexed="64"/>
      </bottom>
      <diagonal/>
    </border>
    <border>
      <left/>
      <right/>
      <top/>
      <bottom style="thick">
        <color indexed="64"/>
      </bottom>
      <diagonal/>
    </border>
    <border>
      <left/>
      <right style="thick">
        <color auto="1"/>
      </right>
      <top/>
      <bottom/>
      <diagonal/>
    </border>
    <border>
      <left style="thick">
        <color auto="1"/>
      </left>
      <right/>
      <top/>
      <bottom/>
      <diagonal/>
    </border>
    <border>
      <left style="thick">
        <color auto="1"/>
      </left>
      <right/>
      <top/>
      <bottom style="thick">
        <color auto="1"/>
      </bottom>
      <diagonal/>
    </border>
    <border>
      <left/>
      <right style="thick">
        <color auto="1"/>
      </right>
      <top/>
      <bottom style="thin">
        <color auto="1"/>
      </bottom>
      <diagonal/>
    </border>
    <border>
      <left style="thick">
        <color auto="1"/>
      </left>
      <right/>
      <top style="thin">
        <color auto="1"/>
      </top>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right/>
      <top style="medium">
        <color auto="1"/>
      </top>
      <bottom style="thin">
        <color indexed="64"/>
      </bottom>
      <diagonal/>
    </border>
    <border>
      <left/>
      <right/>
      <top/>
      <bottom style="medium">
        <color auto="1"/>
      </bottom>
      <diagonal/>
    </border>
    <border>
      <left/>
      <right style="medium">
        <color auto="1"/>
      </right>
      <top/>
      <bottom style="medium">
        <color auto="1"/>
      </bottom>
      <diagonal/>
    </border>
    <border>
      <left/>
      <right style="thick">
        <color auto="1"/>
      </right>
      <top/>
      <bottom style="medium">
        <color auto="1"/>
      </bottom>
      <diagonal/>
    </border>
    <border>
      <left style="medium">
        <color auto="1"/>
      </left>
      <right/>
      <top style="medium">
        <color auto="1"/>
      </top>
      <bottom style="thin">
        <color auto="1"/>
      </bottom>
      <diagonal/>
    </border>
    <border>
      <left/>
      <right style="medium">
        <color auto="1"/>
      </right>
      <top/>
      <bottom/>
      <diagonal/>
    </border>
    <border>
      <left/>
      <right style="medium">
        <color auto="1"/>
      </right>
      <top style="medium">
        <color auto="1"/>
      </top>
      <bottom style="thin">
        <color auto="1"/>
      </bottom>
      <diagonal/>
    </border>
    <border>
      <left style="thick">
        <color auto="1"/>
      </left>
      <right/>
      <top style="medium">
        <color auto="1"/>
      </top>
      <bottom style="thin">
        <color auto="1"/>
      </bottom>
      <diagonal/>
    </border>
    <border>
      <left style="thick">
        <color auto="1"/>
      </left>
      <right/>
      <top/>
      <bottom style="medium">
        <color auto="1"/>
      </bottom>
      <diagonal/>
    </border>
    <border>
      <left/>
      <right style="thick">
        <color auto="1"/>
      </right>
      <top style="medium">
        <color auto="1"/>
      </top>
      <bottom style="thin">
        <color auto="1"/>
      </bottom>
      <diagonal/>
    </border>
    <border>
      <left style="thick">
        <color auto="1"/>
      </left>
      <right/>
      <top style="medium">
        <color auto="1"/>
      </top>
      <bottom/>
      <diagonal/>
    </border>
    <border>
      <left/>
      <right style="thin">
        <color auto="1"/>
      </right>
      <top style="medium">
        <color auto="1"/>
      </top>
      <bottom/>
      <diagonal/>
    </border>
    <border>
      <left style="thick">
        <color auto="1"/>
      </left>
      <right/>
      <top/>
      <bottom style="thin">
        <color indexed="64"/>
      </bottom>
      <diagonal/>
    </border>
    <border>
      <left/>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thick">
        <color indexed="64"/>
      </left>
      <right style="medium">
        <color indexed="64"/>
      </right>
      <top/>
      <bottom/>
      <diagonal/>
    </border>
    <border>
      <left/>
      <right style="thick">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thick">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ck">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top style="medium">
        <color indexed="64"/>
      </top>
      <bottom/>
      <diagonal/>
    </border>
    <border>
      <left style="thick">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thin">
        <color indexed="64"/>
      </top>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bottom style="dashed">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n">
        <color rgb="FF000000"/>
      </left>
      <right/>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style="thin">
        <color rgb="FF000000"/>
      </right>
      <top/>
      <bottom/>
      <diagonal/>
    </border>
    <border>
      <left/>
      <right style="thin">
        <color rgb="FF000000"/>
      </right>
      <top style="thin">
        <color rgb="FF000000"/>
      </top>
      <bottom/>
      <diagonal/>
    </border>
    <border>
      <left/>
      <right style="thick">
        <color indexed="64"/>
      </right>
      <top style="thin">
        <color indexed="64"/>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style="thin">
        <color indexed="64"/>
      </left>
      <right/>
      <top style="thin">
        <color indexed="64"/>
      </top>
      <bottom style="thick">
        <color indexed="64"/>
      </bottom>
      <diagonal/>
    </border>
    <border>
      <left/>
      <right style="thick">
        <color indexed="64"/>
      </right>
      <top style="medium">
        <color indexed="64"/>
      </top>
      <bottom style="medium">
        <color indexed="64"/>
      </bottom>
      <diagonal/>
    </border>
    <border>
      <left style="thick">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thick">
        <color indexed="64"/>
      </top>
      <bottom style="medium">
        <color indexed="64"/>
      </bottom>
      <diagonal/>
    </border>
    <border>
      <left/>
      <right style="double">
        <color indexed="64"/>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double">
        <color indexed="64"/>
      </right>
      <top style="medium">
        <color indexed="64"/>
      </top>
      <bottom style="medium">
        <color indexed="64"/>
      </bottom>
      <diagonal/>
    </border>
    <border>
      <left style="double">
        <color indexed="64"/>
      </left>
      <right style="medium">
        <color indexed="64"/>
      </right>
      <top/>
      <bottom style="medium">
        <color indexed="64"/>
      </bottom>
      <diagonal/>
    </border>
    <border>
      <left/>
      <right style="double">
        <color indexed="64"/>
      </right>
      <top style="thick">
        <color indexed="64"/>
      </top>
      <bottom style="medium">
        <color indexed="64"/>
      </bottom>
      <diagonal/>
    </border>
    <border>
      <left/>
      <right style="double">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double">
        <color indexed="64"/>
      </right>
      <top/>
      <bottom style="medium">
        <color indexed="64"/>
      </bottom>
      <diagonal/>
    </border>
    <border>
      <left/>
      <right style="thick">
        <color indexed="64"/>
      </right>
      <top style="medium">
        <color rgb="FF000000"/>
      </top>
      <bottom style="medium">
        <color indexed="64"/>
      </bottom>
      <diagonal/>
    </border>
    <border>
      <left/>
      <right/>
      <top style="medium">
        <color rgb="FF000000"/>
      </top>
      <bottom style="medium">
        <color indexed="64"/>
      </bottom>
      <diagonal/>
    </border>
    <border>
      <left/>
      <right style="thick">
        <color indexed="64"/>
      </right>
      <top style="medium">
        <color indexed="64"/>
      </top>
      <bottom style="medium">
        <color rgb="FF000000"/>
      </bottom>
      <diagonal/>
    </border>
    <border>
      <left/>
      <right/>
      <top style="medium">
        <color indexed="64"/>
      </top>
      <bottom style="medium">
        <color rgb="FF000000"/>
      </bottom>
      <diagonal/>
    </border>
    <border>
      <left style="thick">
        <color indexed="64"/>
      </left>
      <right style="medium">
        <color indexed="64"/>
      </right>
      <top/>
      <bottom style="medium">
        <color rgb="FF000000"/>
      </bottom>
      <diagonal/>
    </border>
    <border>
      <left style="medium">
        <color auto="1"/>
      </left>
      <right style="medium">
        <color auto="1"/>
      </right>
      <top style="medium">
        <color auto="1"/>
      </top>
      <bottom style="medium">
        <color auto="1"/>
      </bottom>
      <diagonal/>
    </border>
    <border>
      <left style="thin">
        <color indexed="64"/>
      </left>
      <right/>
      <top/>
      <bottom style="thin">
        <color theme="0" tint="-0.1499069185460982"/>
      </bottom>
      <diagonal/>
    </border>
    <border>
      <left/>
      <right/>
      <top/>
      <bottom style="thin">
        <color theme="0" tint="-0.1499069185460982"/>
      </bottom>
      <diagonal/>
    </border>
    <border>
      <left style="thin">
        <color indexed="64"/>
      </left>
      <right/>
      <top style="thin">
        <color theme="0" tint="-0.1499069185460982"/>
      </top>
      <bottom style="thin">
        <color theme="0" tint="-0.1499069185460982"/>
      </bottom>
      <diagonal/>
    </border>
    <border>
      <left/>
      <right/>
      <top style="thin">
        <color theme="0" tint="-0.1499069185460982"/>
      </top>
      <bottom style="thin">
        <color theme="0" tint="-0.1499069185460982"/>
      </bottom>
      <diagonal/>
    </border>
    <border>
      <left style="thin">
        <color indexed="64"/>
      </left>
      <right/>
      <top style="thin">
        <color theme="0" tint="-0.1499069185460982"/>
      </top>
      <bottom/>
      <diagonal/>
    </border>
    <border>
      <left/>
      <right/>
      <top style="thin">
        <color theme="0" tint="-0.1499069185460982"/>
      </top>
      <bottom/>
      <diagonal/>
    </border>
    <border>
      <left/>
      <right/>
      <top/>
      <bottom style="thin">
        <color theme="0" tint="-0.1498764000366222"/>
      </bottom>
      <diagonal/>
    </border>
    <border>
      <left/>
      <right style="thin">
        <color indexed="64"/>
      </right>
      <top/>
      <bottom style="thin">
        <color theme="0" tint="-0.249946592608417"/>
      </bottom>
      <diagonal/>
    </border>
    <border>
      <left/>
      <right/>
      <top/>
      <bottom style="thin">
        <color theme="0" tint="-0.249946592608417"/>
      </bottom>
      <diagonal/>
    </border>
    <border>
      <left/>
      <right style="thin">
        <color theme="0" tint="-0.1498764000366222"/>
      </right>
      <top/>
      <bottom style="thin">
        <color theme="0" tint="-0.1498764000366222"/>
      </bottom>
      <diagonal/>
    </border>
    <border>
      <left style="thin">
        <color theme="0" tint="-0.1498764000366222"/>
      </left>
      <right/>
      <top/>
      <bottom style="thin">
        <color theme="0" tint="-0.1499069185460982"/>
      </bottom>
      <diagonal/>
    </border>
    <border>
      <left style="thin">
        <color theme="0" tint="-0.1498764000366222"/>
      </left>
      <right/>
      <top/>
      <bottom style="thin">
        <color theme="0" tint="-0.1498764000366222"/>
      </bottom>
      <diagonal/>
    </border>
    <border>
      <left/>
      <right style="thin">
        <color theme="0" tint="-0.1498764000366222"/>
      </right>
      <top style="thin">
        <color theme="0" tint="-0.1498764000366222"/>
      </top>
      <bottom/>
      <diagonal/>
    </border>
    <border>
      <left/>
      <right/>
      <top style="thin">
        <color theme="0" tint="-0.1498764000366222"/>
      </top>
      <bottom/>
      <diagonal/>
    </border>
    <border>
      <left style="thin">
        <color theme="0" tint="-0.1498764000366222"/>
      </left>
      <right/>
      <top style="thin">
        <color theme="0" tint="-0.1498764000366222"/>
      </top>
      <bottom/>
      <diagonal/>
    </border>
    <border>
      <left/>
      <right/>
      <top/>
      <bottom style="thin">
        <color theme="0" tint="-0.1498764000366222"/>
      </bottom>
      <diagonal/>
    </border>
    <border>
      <left style="thin">
        <color theme="0" tint="-0.1498764000366222"/>
      </left>
      <right/>
      <top/>
      <bottom style="thin">
        <color theme="0" tint="-0.1498764000366222"/>
      </bottom>
      <diagonal/>
    </border>
    <border>
      <left/>
      <right/>
      <top style="thin">
        <color theme="0" tint="-0.249946592608417"/>
      </top>
      <bottom/>
      <diagonal/>
    </border>
    <border>
      <left style="thin">
        <color theme="0" tint="-0.249946592608417"/>
      </left>
      <right/>
      <top/>
      <bottom style="thin">
        <color theme="0" tint="-0.249946592608417"/>
      </bottom>
      <diagonal/>
    </border>
    <border>
      <left style="thin">
        <color theme="0" tint="-0.14987640003662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top/>
      <bottom style="thin">
        <color theme="0" tint="-0.1498458815271462"/>
      </bottom>
      <diagonal/>
    </border>
    <border>
      <left/>
      <right style="thin">
        <color indexed="64"/>
      </right>
      <top/>
      <bottom style="thin">
        <color theme="0" tint="-0.1498458815271462"/>
      </bottom>
      <diagonal/>
    </border>
    <border>
      <left/>
      <right style="thin">
        <color theme="0" tint="-0.1498764000366222"/>
      </right>
      <top style="thin">
        <color theme="0" tint="-0.1498764000366222"/>
      </top>
      <bottom style="thin">
        <color theme="0" tint="-0.1498764000366222"/>
      </bottom>
      <diagonal/>
    </border>
    <border>
      <left/>
      <right/>
      <top style="thin">
        <color theme="0" tint="-0.249946592608417"/>
      </top>
      <bottom style="thin">
        <color theme="0" tint="-0.249946592608417"/>
      </bottom>
      <diagonal/>
    </border>
    <border>
      <left/>
      <right style="thin">
        <color indexed="64"/>
      </right>
      <top style="thin">
        <color theme="0" tint="-0.249946592608417"/>
      </top>
      <bottom style="thin">
        <color theme="0" tint="-0.249946592608417"/>
      </bottom>
      <diagonal/>
    </border>
    <border>
      <left style="thin">
        <color theme="0" tint="-0.1498764000366222"/>
      </left>
      <right/>
      <top/>
      <bottom/>
      <diagonal/>
    </border>
    <border>
      <left/>
      <right style="thin">
        <color theme="0" tint="-0.1498764000366222"/>
      </right>
      <top/>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style="thin">
        <color theme="0" tint="-0.1498764000366222"/>
      </top>
      <bottom/>
      <diagonal/>
    </border>
    <border>
      <left/>
      <right/>
      <top style="thin">
        <color theme="0" tint="-0.1498764000366222"/>
      </top>
      <bottom/>
      <diagonal/>
    </border>
    <border>
      <left style="thick">
        <color indexed="64"/>
      </left>
      <right style="thin">
        <color indexed="64"/>
      </right>
      <top style="double">
        <color indexed="64"/>
      </top>
      <bottom style="thin">
        <color indexed="64"/>
      </bottom>
      <diagonal/>
    </border>
    <border>
      <left/>
      <right style="hair">
        <color auto="1"/>
      </right>
      <top/>
      <bottom/>
      <diagonal/>
    </border>
    <border>
      <left style="hair">
        <color auto="1"/>
      </left>
      <right/>
      <top/>
      <bottom/>
      <diagonal/>
    </border>
    <border>
      <left style="thin">
        <color indexed="64"/>
      </left>
      <right/>
      <top/>
      <bottom style="double">
        <color auto="1"/>
      </bottom>
      <diagonal/>
    </border>
    <border>
      <left/>
      <right style="thin">
        <color indexed="64"/>
      </right>
      <top/>
      <bottom style="double">
        <color auto="1"/>
      </bottom>
      <diagonal/>
    </border>
    <border>
      <left style="dotted">
        <color auto="1"/>
      </left>
      <right style="dotted">
        <color auto="1"/>
      </right>
      <top style="double">
        <color auto="1"/>
      </top>
      <bottom style="dotted">
        <color auto="1"/>
      </bottom>
      <diagonal/>
    </border>
    <border>
      <left style="dotted">
        <color auto="1"/>
      </left>
      <right style="dotted">
        <color auto="1"/>
      </right>
      <top style="dotted">
        <color auto="1"/>
      </top>
      <bottom style="dotted">
        <color auto="1"/>
      </bottom>
      <diagonal/>
    </border>
    <border>
      <left/>
      <right/>
      <top/>
      <bottom style="double">
        <color auto="1"/>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ck">
        <color auto="1"/>
      </left>
      <right style="thin">
        <color indexed="64"/>
      </right>
      <top/>
      <bottom/>
      <diagonal/>
    </border>
    <border>
      <left/>
      <right/>
      <top style="medium">
        <color auto="1"/>
      </top>
      <bottom/>
      <diagonal/>
    </border>
    <border>
      <left/>
      <right/>
      <top style="thin">
        <color indexed="64"/>
      </top>
      <bottom style="medium">
        <color auto="1"/>
      </bottom>
      <diagonal/>
    </border>
    <border>
      <left style="thin">
        <color indexed="64"/>
      </left>
      <right style="thin">
        <color indexed="64"/>
      </right>
      <top style="thin">
        <color indexed="64"/>
      </top>
      <bottom style="double">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right style="dotted">
        <color auto="1"/>
      </right>
      <top style="double">
        <color auto="1"/>
      </top>
      <bottom style="dotted">
        <color auto="1"/>
      </bottom>
      <diagonal/>
    </border>
    <border>
      <left/>
      <right/>
      <top style="double">
        <color auto="1"/>
      </top>
      <bottom style="dotted">
        <color auto="1"/>
      </bottom>
      <diagonal/>
    </border>
    <border>
      <left style="medium">
        <color indexed="64"/>
      </left>
      <right style="medium">
        <color auto="1"/>
      </right>
      <top/>
      <bottom/>
      <diagonal/>
    </border>
    <border>
      <left style="medium">
        <color indexed="64"/>
      </left>
      <right style="medium">
        <color indexed="64"/>
      </right>
      <top/>
      <bottom style="thin">
        <color indexed="64"/>
      </bottom>
      <diagonal/>
    </border>
    <border>
      <left/>
      <right style="medium">
        <color indexed="64"/>
      </right>
      <top/>
      <bottom/>
      <diagonal/>
    </border>
    <border>
      <left style="medium">
        <color auto="1"/>
      </left>
      <right style="medium">
        <color auto="1"/>
      </right>
      <top style="medium">
        <color auto="1"/>
      </top>
      <bottom style="thin">
        <color auto="1"/>
      </bottom>
      <diagonal/>
    </border>
    <border>
      <left/>
      <right style="medium">
        <color auto="1"/>
      </right>
      <top style="medium">
        <color auto="1"/>
      </top>
      <bottom/>
      <diagonal/>
    </border>
    <border>
      <left/>
      <right/>
      <top style="medium">
        <color auto="1"/>
      </top>
      <bottom style="thin">
        <color auto="1"/>
      </bottom>
      <diagonal/>
    </border>
    <border>
      <left style="medium">
        <color indexed="64"/>
      </left>
      <right style="medium">
        <color auto="1"/>
      </right>
      <top style="thin">
        <color indexed="64"/>
      </top>
      <bottom/>
      <diagonal/>
    </border>
    <border>
      <left/>
      <right style="medium">
        <color auto="1"/>
      </right>
      <top style="thin">
        <color indexed="64"/>
      </top>
      <bottom/>
      <diagonal/>
    </border>
    <border>
      <left style="medium">
        <color indexed="64"/>
      </left>
      <right style="medium">
        <color auto="1"/>
      </right>
      <top/>
      <bottom style="medium">
        <color indexed="64"/>
      </bottom>
      <diagonal/>
    </border>
    <border>
      <left/>
      <right/>
      <top/>
      <bottom style="medium">
        <color indexed="64"/>
      </bottom>
      <diagonal/>
    </border>
    <border>
      <left/>
      <right style="medium">
        <color auto="1"/>
      </right>
      <top/>
      <bottom style="medium">
        <color indexed="64"/>
      </bottom>
      <diagonal/>
    </border>
    <border>
      <left style="thin">
        <color indexed="64"/>
      </left>
      <right style="medium">
        <color auto="1"/>
      </right>
      <top/>
      <bottom style="medium">
        <color auto="1"/>
      </bottom>
      <diagonal/>
    </border>
    <border>
      <left style="thin">
        <color indexed="64"/>
      </left>
      <right/>
      <top/>
      <bottom style="medium">
        <color auto="1"/>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ck">
        <color auto="1"/>
      </left>
      <right style="medium">
        <color auto="1"/>
      </right>
      <top/>
      <bottom style="medium">
        <color auto="1"/>
      </bottom>
      <diagonal/>
    </border>
    <border>
      <left style="medium">
        <color indexed="64"/>
      </left>
      <right style="medium">
        <color auto="1"/>
      </right>
      <top style="medium">
        <color indexed="64"/>
      </top>
      <bottom style="medium">
        <color auto="1"/>
      </bottom>
      <diagonal/>
    </border>
    <border>
      <left/>
      <right style="medium">
        <color auto="1"/>
      </right>
      <top style="medium">
        <color indexed="64"/>
      </top>
      <bottom/>
      <diagonal/>
    </border>
    <border>
      <left style="medium">
        <color indexed="64"/>
      </left>
      <right/>
      <top/>
      <bottom style="medium">
        <color auto="1"/>
      </bottom>
      <diagonal/>
    </border>
    <border>
      <left style="medium">
        <color indexed="64"/>
      </left>
      <right style="thick">
        <color indexed="64"/>
      </right>
      <top style="medium">
        <color indexed="64"/>
      </top>
      <bottom style="medium">
        <color indexed="64"/>
      </bottom>
      <diagonal/>
    </border>
    <border>
      <left style="thick">
        <color auto="1"/>
      </left>
      <right style="thick">
        <color auto="1"/>
      </right>
      <top/>
      <bottom style="medium">
        <color auto="1"/>
      </bottom>
      <diagonal/>
    </border>
    <border>
      <left style="thick">
        <color indexed="64"/>
      </left>
      <right style="medium">
        <color indexed="64"/>
      </right>
      <top style="medium">
        <color indexed="64"/>
      </top>
      <bottom style="medium">
        <color indexed="64"/>
      </bottom>
      <diagonal/>
    </border>
    <border>
      <left style="thick">
        <color auto="1"/>
      </left>
      <right style="medium">
        <color indexed="64"/>
      </right>
      <top style="medium">
        <color auto="1"/>
      </top>
      <bottom/>
      <diagonal/>
    </border>
    <border>
      <left/>
      <right style="medium">
        <color indexed="64"/>
      </right>
      <top style="medium">
        <color auto="1"/>
      </top>
      <bottom/>
      <diagonal/>
    </border>
    <border>
      <left style="thick">
        <color auto="1"/>
      </left>
      <right style="medium">
        <color auto="1"/>
      </right>
      <top style="medium">
        <color auto="1"/>
      </top>
      <bottom style="medium">
        <color auto="1"/>
      </bottom>
      <diagonal/>
    </border>
    <border>
      <left style="medium">
        <color indexed="64"/>
      </left>
      <right style="thick">
        <color auto="1"/>
      </right>
      <top style="medium">
        <color indexed="64"/>
      </top>
      <bottom style="medium">
        <color auto="1"/>
      </bottom>
      <diagonal/>
    </border>
    <border>
      <left/>
      <right style="thick">
        <color auto="1"/>
      </right>
      <top style="medium">
        <color indexed="64"/>
      </top>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thick">
        <color indexed="64"/>
      </right>
      <top/>
      <bottom/>
      <diagonal/>
    </border>
    <border>
      <left style="medium">
        <color indexed="64"/>
      </left>
      <right style="thick">
        <color auto="1"/>
      </right>
      <top/>
      <bottom/>
      <diagonal/>
    </border>
    <border>
      <left style="medium">
        <color indexed="64"/>
      </left>
      <right style="thick">
        <color auto="1"/>
      </right>
      <top/>
      <bottom style="medium">
        <color indexed="64"/>
      </bottom>
      <diagonal/>
    </border>
    <border>
      <left/>
      <right style="thick">
        <color auto="1"/>
      </right>
      <top/>
      <bottom style="medium">
        <color indexed="64"/>
      </bottom>
      <diagonal/>
    </border>
    <border>
      <left style="thick">
        <color indexed="64"/>
      </left>
      <right/>
      <top/>
      <bottom/>
      <diagonal/>
    </border>
    <border>
      <left style="thick">
        <color auto="1"/>
      </left>
      <right style="thick">
        <color auto="1"/>
      </right>
      <top/>
      <bottom/>
      <diagonal/>
    </border>
    <border>
      <left style="thick">
        <color auto="1"/>
      </left>
      <right style="thick">
        <color indexed="64"/>
      </right>
      <top/>
      <bottom style="thick">
        <color auto="1"/>
      </bottom>
      <diagonal/>
    </border>
    <border>
      <left/>
      <right/>
      <top/>
      <bottom style="thick">
        <color auto="1"/>
      </bottom>
      <diagonal/>
    </border>
    <border>
      <left/>
      <right style="thick">
        <color indexed="64"/>
      </right>
      <top/>
      <bottom style="thick">
        <color auto="1"/>
      </bottom>
      <diagonal/>
    </border>
    <border>
      <left style="thick">
        <color indexed="64"/>
      </left>
      <right style="thick">
        <color indexed="64"/>
      </right>
      <top style="thick">
        <color indexed="64"/>
      </top>
      <bottom style="thick">
        <color indexed="64"/>
      </bottom>
      <diagonal/>
    </border>
    <border>
      <left style="thin">
        <color theme="0" tint="-0.1498764000366222"/>
      </left>
      <right style="thin">
        <color indexed="64"/>
      </right>
      <top/>
      <bottom style="thin">
        <color theme="0" tint="-0.14984588152714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diagonal/>
    </border>
    <border>
      <left style="thin">
        <color theme="0" tint="-0.249946592608417"/>
      </left>
      <right style="thin">
        <color indexed="64"/>
      </right>
      <top style="thin">
        <color theme="0" tint="-0.249946592608417"/>
      </top>
      <bottom style="thin">
        <color theme="0" tint="-0.249946592608417"/>
      </bottom>
      <diagonal/>
    </border>
    <border>
      <left style="thin">
        <color theme="0" tint="-0.249946592608417"/>
      </left>
      <right style="thin">
        <color indexed="64"/>
      </right>
      <top/>
      <bottom style="thin">
        <color indexed="64"/>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ck">
        <color indexed="64"/>
      </left>
      <right/>
      <top/>
      <bottom style="thick">
        <color indexed="64"/>
      </bottom>
      <diagonal/>
    </border>
    <border>
      <left style="thick">
        <color indexed="64"/>
      </left>
      <right/>
      <top/>
      <bottom style="thin">
        <color indexed="64"/>
      </bottom>
      <diagonal/>
    </border>
    <border>
      <left style="medium">
        <color indexed="64"/>
      </left>
      <right style="thick">
        <color indexed="64"/>
      </right>
      <top style="medium">
        <color indexed="64"/>
      </top>
      <bottom style="medium">
        <color rgb="FF000000"/>
      </bottom>
      <diagonal/>
    </border>
    <border>
      <left style="medium">
        <color indexed="64"/>
      </left>
      <right style="thick">
        <color indexed="64"/>
      </right>
      <top style="medium">
        <color rgb="FF000000"/>
      </top>
      <bottom style="medium">
        <color indexed="64"/>
      </bottom>
      <diagonal/>
    </border>
    <border>
      <left/>
      <right/>
      <top style="medium">
        <color indexed="64"/>
      </top>
      <bottom style="medium">
        <color auto="1"/>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style="thick">
        <color indexed="64"/>
      </bottom>
      <diagonal/>
    </border>
    <border>
      <left style="double">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double">
        <color indexed="64"/>
      </bottom>
      <diagonal/>
    </border>
    <border>
      <left style="medium">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thick">
        <color indexed="64"/>
      </bottom>
      <diagonal/>
    </border>
    <border>
      <left style="medium">
        <color indexed="64"/>
      </left>
      <right style="double">
        <color indexed="64"/>
      </right>
      <top style="medium">
        <color indexed="64"/>
      </top>
      <bottom style="thick">
        <color indexed="64"/>
      </bottom>
      <diagonal/>
    </border>
    <border>
      <left style="medium">
        <color indexed="64"/>
      </left>
      <right style="double">
        <color indexed="64"/>
      </right>
      <top style="thick">
        <color indexed="64"/>
      </top>
      <bottom style="medium">
        <color indexed="64"/>
      </bottom>
      <diagonal/>
    </border>
    <border>
      <left/>
      <right/>
      <top style="thick">
        <color indexed="64"/>
      </top>
      <bottom style="medium">
        <color indexed="64"/>
      </bottom>
      <diagonal/>
    </border>
    <border>
      <left style="double">
        <color indexed="64"/>
      </left>
      <right style="medium">
        <color auto="1"/>
      </right>
      <top/>
      <bottom style="medium">
        <color indexed="64"/>
      </bottom>
      <diagonal/>
    </border>
    <border>
      <left style="medium">
        <color indexed="64"/>
      </left>
      <right style="double">
        <color indexed="64"/>
      </right>
      <top/>
      <bottom style="medium">
        <color indexed="64"/>
      </bottom>
      <diagonal/>
    </border>
    <border>
      <left/>
      <right style="thick">
        <color auto="1"/>
      </right>
      <top style="thick">
        <color indexed="64"/>
      </top>
      <bottom style="medium">
        <color auto="1"/>
      </bottom>
      <diagonal/>
    </border>
    <border>
      <left/>
      <right style="thick">
        <color auto="1"/>
      </right>
      <top style="thick">
        <color indexed="64"/>
      </top>
      <bottom/>
      <diagonal/>
    </border>
    <border>
      <left style="thick">
        <color auto="1"/>
      </left>
      <right style="thick">
        <color indexed="64"/>
      </right>
      <top style="medium">
        <color auto="1"/>
      </top>
      <bottom/>
      <diagonal/>
    </border>
    <border>
      <left/>
      <right style="thick">
        <color indexed="64"/>
      </right>
      <top style="medium">
        <color auto="1"/>
      </top>
      <bottom/>
      <diagonal/>
    </border>
    <border>
      <left style="thick">
        <color indexed="64"/>
      </left>
      <right style="thick">
        <color indexed="64"/>
      </right>
      <top style="medium">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auto="1"/>
      </right>
      <top style="thick">
        <color indexed="64"/>
      </top>
      <bottom style="medium">
        <color indexed="64"/>
      </bottom>
      <diagonal/>
    </border>
    <border>
      <left/>
      <right style="thick">
        <color auto="1"/>
      </right>
      <top style="thick">
        <color indexed="64"/>
      </top>
      <bottom style="medium">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indexed="64"/>
      </left>
      <right style="medium">
        <color auto="1"/>
      </right>
      <top style="thin">
        <color indexed="64"/>
      </top>
      <bottom/>
      <diagonal/>
    </border>
    <border>
      <left/>
      <right style="thin">
        <color indexed="64"/>
      </right>
      <top/>
      <bottom style="medium">
        <color auto="1"/>
      </bottom>
      <diagonal/>
    </border>
    <border>
      <left style="thin">
        <color indexed="64"/>
      </left>
      <right style="medium">
        <color auto="1"/>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auto="1"/>
      </right>
      <top style="medium">
        <color auto="1"/>
      </top>
      <bottom style="thin">
        <color indexed="64"/>
      </bottom>
      <diagonal/>
    </border>
    <border>
      <left style="thick">
        <color indexed="64"/>
      </left>
      <right style="thick">
        <color indexed="64"/>
      </right>
      <top style="thin">
        <color indexed="64"/>
      </top>
      <bottom style="thin">
        <color indexed="64"/>
      </bottom>
      <diagonal/>
    </border>
    <border>
      <left/>
      <right/>
      <top style="thin">
        <color auto="1"/>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thick">
        <color indexed="64"/>
      </bottom>
      <diagonal/>
    </border>
    <border>
      <left/>
      <right/>
      <top style="thick">
        <color auto="1"/>
      </top>
      <bottom/>
      <diagonal/>
    </border>
    <border>
      <left/>
      <right/>
      <top style="dotted">
        <color auto="1"/>
      </top>
      <bottom/>
      <diagonal/>
    </border>
    <border>
      <left/>
      <right style="dotted">
        <color auto="1"/>
      </right>
      <top style="dotted">
        <color auto="1"/>
      </top>
      <bottom/>
      <diagonal/>
    </border>
    <border>
      <left/>
      <right/>
      <top style="double">
        <color auto="1"/>
      </top>
      <bottom/>
      <diagonal/>
    </border>
    <border>
      <left/>
      <right style="dotted">
        <color auto="1"/>
      </right>
      <top style="double">
        <color auto="1"/>
      </top>
      <bottom/>
      <diagonal/>
    </border>
    <border>
      <left style="medium">
        <color indexed="64"/>
      </left>
      <right style="thick">
        <color indexed="64"/>
      </right>
      <top/>
      <bottom/>
      <diagonal/>
    </border>
    <border>
      <left/>
      <right style="thin">
        <color indexed="64"/>
      </right>
      <top style="thin">
        <color theme="0" tint="-0.249946592608417"/>
      </top>
      <bottom/>
      <diagonal/>
    </border>
    <border>
      <left/>
      <right/>
      <top style="medium">
        <color rgb="FF000000"/>
      </top>
      <bottom/>
      <diagonal/>
    </border>
    <border>
      <left/>
      <right style="thick">
        <color indexed="64"/>
      </right>
      <top style="medium">
        <color rgb="FF000000"/>
      </top>
      <bottom/>
      <diagonal/>
    </border>
    <border>
      <left/>
      <right style="double">
        <color indexed="64"/>
      </right>
      <top style="medium">
        <color indexed="64"/>
      </top>
      <bottom/>
      <diagonal/>
    </border>
    <border>
      <left/>
      <right style="double">
        <color indexed="64"/>
      </right>
      <top style="thick">
        <color indexed="64"/>
      </top>
      <bottom/>
      <diagonal/>
    </border>
    <border>
      <left/>
      <right style="double">
        <color indexed="64"/>
      </right>
      <top/>
      <bottom/>
      <diagonal/>
    </border>
    <border>
      <left/>
      <right style="medium">
        <color indexed="64"/>
      </right>
      <top style="thick">
        <color indexed="64"/>
      </top>
      <bottom/>
      <diagonal/>
    </border>
    <border>
      <left/>
      <right style="thin">
        <color indexed="64"/>
      </right>
      <top style="thick">
        <color indexed="64"/>
      </top>
      <bottom/>
      <diagonal/>
    </border>
    <border>
      <left style="thick">
        <color indexed="64"/>
      </left>
      <right style="thin">
        <color indexed="64"/>
      </right>
      <top/>
      <bottom/>
      <diagonal/>
    </border>
    <border>
      <left/>
      <right style="double">
        <color indexed="64"/>
      </right>
      <top style="thin">
        <color indexed="64"/>
      </top>
      <bottom/>
      <diagonal/>
    </border>
  </borders>
  <cellStyleXfs count="4">
    <xf numFmtId="0" fontId="0" fillId="0" borderId="0" applyAlignment="1">
      <alignment vertical="center"/>
    </xf>
    <xf numFmtId="0" fontId="20" fillId="0" borderId="0" applyAlignment="1">
      <alignment vertical="center"/>
    </xf>
    <xf numFmtId="0" fontId="71" fillId="0" borderId="0" applyAlignment="1">
      <alignment vertical="center"/>
    </xf>
    <xf numFmtId="0" fontId="73" fillId="0" borderId="0"/>
  </cellStyleXfs>
  <cellXfs count="1341">
    <xf numFmtId="0" fontId="0" fillId="0" borderId="0" applyAlignment="1" pivotButton="0" quotePrefix="0" xfId="0">
      <alignment vertical="center"/>
    </xf>
    <xf numFmtId="0" fontId="0" fillId="0" borderId="3" applyAlignment="1" pivotButton="0" quotePrefix="0" xfId="0">
      <alignment vertical="center"/>
    </xf>
    <xf numFmtId="0" fontId="2" fillId="0" borderId="7" applyAlignment="1" pivotButton="0" quotePrefix="0" xfId="0">
      <alignment horizontal="justify" vertical="top" wrapText="1"/>
    </xf>
    <xf numFmtId="0" fontId="2" fillId="0" borderId="8" applyAlignment="1" pivotButton="0" quotePrefix="0" xfId="0">
      <alignment horizontal="justify" vertical="top" wrapText="1"/>
    </xf>
    <xf numFmtId="0" fontId="2" fillId="0" borderId="9" applyAlignment="1" pivotButton="0" quotePrefix="0" xfId="0">
      <alignment horizontal="justify" vertical="top" wrapText="1"/>
    </xf>
    <xf numFmtId="0" fontId="3" fillId="0" borderId="0" applyAlignment="1" pivotButton="0" quotePrefix="0" xfId="0">
      <alignment vertical="center"/>
    </xf>
    <xf numFmtId="0" fontId="0" fillId="0" borderId="0" applyAlignment="1" applyProtection="1" pivotButton="0" quotePrefix="0" xfId="0">
      <alignment vertical="center"/>
      <protection locked="1" hidden="1"/>
    </xf>
    <xf numFmtId="0" fontId="5" fillId="0" borderId="0" applyAlignment="1" applyProtection="1" pivotButton="0" quotePrefix="0" xfId="0">
      <alignment vertical="center"/>
      <protection locked="1" hidden="1"/>
    </xf>
    <xf numFmtId="0" fontId="6" fillId="0" borderId="0" applyAlignment="1" applyProtection="1" pivotButton="0" quotePrefix="0" xfId="0">
      <alignment vertical="center"/>
      <protection locked="1" hidden="1"/>
    </xf>
    <xf numFmtId="0" fontId="8" fillId="0" borderId="0" applyAlignment="1" applyProtection="1" pivotButton="0" quotePrefix="0" xfId="0">
      <alignment vertical="center"/>
      <protection locked="1" hidden="1"/>
    </xf>
    <xf numFmtId="0" fontId="8" fillId="0" borderId="0" applyAlignment="1" applyProtection="1" pivotButton="0" quotePrefix="0" xfId="0">
      <alignment horizontal="left" vertical="center" indent="5"/>
      <protection locked="1" hidden="1"/>
    </xf>
    <xf numFmtId="0" fontId="7" fillId="0" borderId="0" applyAlignment="1" applyProtection="1" pivotButton="0" quotePrefix="0" xfId="0">
      <alignment vertical="center"/>
      <protection locked="1" hidden="1"/>
    </xf>
    <xf numFmtId="0" fontId="7" fillId="0" borderId="0" applyAlignment="1" applyProtection="1" pivotButton="0" quotePrefix="0" xfId="0">
      <alignment vertical="top"/>
      <protection locked="1" hidden="1"/>
    </xf>
    <xf numFmtId="0" fontId="7"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vertical="center"/>
    </xf>
    <xf numFmtId="0" fontId="12" fillId="0" borderId="0" applyAlignment="1" applyProtection="1" pivotButton="0" quotePrefix="0" xfId="0">
      <alignment vertical="center"/>
      <protection locked="1" hidden="1"/>
    </xf>
    <xf numFmtId="0" fontId="9" fillId="0" borderId="0" applyAlignment="1" applyProtection="1" pivotButton="0" quotePrefix="0" xfId="0">
      <alignment vertical="center"/>
      <protection locked="1" hidden="1"/>
    </xf>
    <xf numFmtId="0" fontId="14" fillId="0" borderId="0" applyAlignment="1" applyProtection="1" pivotButton="0" quotePrefix="0" xfId="0">
      <alignment vertical="center"/>
      <protection locked="1" hidden="1"/>
    </xf>
    <xf numFmtId="0" fontId="15" fillId="0" borderId="0" applyAlignment="1" applyProtection="1" pivotButton="0" quotePrefix="0" xfId="0">
      <alignment horizontal="left" vertical="center"/>
      <protection locked="1" hidden="1"/>
    </xf>
    <xf numFmtId="0" fontId="16" fillId="0" borderId="0" applyAlignment="1" applyProtection="1" pivotButton="0" quotePrefix="0" xfId="0">
      <alignment vertical="center"/>
      <protection locked="1" hidden="1"/>
    </xf>
    <xf numFmtId="0" fontId="17" fillId="0" borderId="0" applyAlignment="1" applyProtection="1" pivotButton="0" quotePrefix="0" xfId="0">
      <alignment horizontal="left" vertical="center" wrapText="1"/>
      <protection locked="1" hidden="1"/>
    </xf>
    <xf numFmtId="0" fontId="17" fillId="0" borderId="0" applyAlignment="1" applyProtection="1" pivotButton="0" quotePrefix="0" xfId="0">
      <alignment vertical="center"/>
      <protection locked="1" hidden="1"/>
    </xf>
    <xf numFmtId="0" fontId="17" fillId="0" borderId="0" applyAlignment="1" applyProtection="1" pivotButton="0" quotePrefix="0" xfId="0">
      <alignment horizontal="left" vertical="center" indent="1"/>
      <protection locked="1" hidden="1"/>
    </xf>
    <xf numFmtId="0" fontId="18" fillId="0" borderId="0" applyAlignment="1" applyProtection="1" pivotButton="0" quotePrefix="0" xfId="0">
      <alignment horizontal="center" vertical="center"/>
      <protection locked="1" hidden="1"/>
    </xf>
    <xf numFmtId="0" fontId="20" fillId="0" borderId="0" applyAlignment="1" pivotButton="0" quotePrefix="0" xfId="1">
      <alignment vertical="center"/>
    </xf>
    <xf numFmtId="0" fontId="20" fillId="0" borderId="0" applyAlignment="1" applyProtection="1" pivotButton="0" quotePrefix="0" xfId="1">
      <alignment vertical="center"/>
      <protection locked="1" hidden="1"/>
    </xf>
    <xf numFmtId="0" fontId="20" fillId="0" borderId="9" applyAlignment="1" applyProtection="1" pivotButton="0" quotePrefix="0" xfId="1">
      <alignment vertical="center"/>
      <protection locked="1" hidden="1"/>
    </xf>
    <xf numFmtId="0" fontId="20" fillId="0" borderId="13" applyAlignment="1" applyProtection="1" pivotButton="0" quotePrefix="0" xfId="1">
      <alignment vertical="center"/>
      <protection locked="1" hidden="1"/>
    </xf>
    <xf numFmtId="0" fontId="21" fillId="0" borderId="13" applyAlignment="1" applyProtection="1" pivotButton="0" quotePrefix="0" xfId="1">
      <alignment vertical="center"/>
      <protection locked="1" hidden="1"/>
    </xf>
    <xf numFmtId="0" fontId="21" fillId="0" borderId="0" applyAlignment="1" applyProtection="1" pivotButton="0" quotePrefix="0" xfId="1">
      <alignment vertical="center"/>
      <protection locked="1" hidden="1"/>
    </xf>
    <xf numFmtId="0" fontId="21" fillId="0" borderId="0" applyAlignment="1" pivotButton="0" quotePrefix="0" xfId="1">
      <alignment vertical="center"/>
    </xf>
    <xf numFmtId="0" fontId="21" fillId="0" borderId="0" applyAlignment="1" applyProtection="1" pivotButton="0" quotePrefix="0" xfId="1">
      <alignment horizontal="center" vertical="center"/>
      <protection locked="1" hidden="1"/>
    </xf>
    <xf numFmtId="0" fontId="0" fillId="0" borderId="0" applyAlignment="1" pivotButton="0" quotePrefix="0" xfId="0">
      <alignment vertical="center" wrapText="1"/>
    </xf>
    <xf numFmtId="0" fontId="6" fillId="3" borderId="5" applyAlignment="1" pivotButton="0" quotePrefix="0" xfId="0">
      <alignment horizontal="center" vertical="center"/>
    </xf>
    <xf numFmtId="0" fontId="5" fillId="2" borderId="5" applyAlignment="1" pivotButton="0" quotePrefix="0" xfId="0">
      <alignment vertical="center"/>
    </xf>
    <xf numFmtId="0" fontId="5" fillId="5" borderId="0" applyAlignment="1" pivotButton="0" quotePrefix="0" xfId="0">
      <alignment vertical="center"/>
    </xf>
    <xf numFmtId="0" fontId="6" fillId="7" borderId="5" applyAlignment="1" pivotButton="0" quotePrefix="0" xfId="0">
      <alignment horizontal="center" vertical="center"/>
    </xf>
    <xf numFmtId="0" fontId="5" fillId="6" borderId="5" applyAlignment="1" pivotButton="0" quotePrefix="0" xfId="0">
      <alignment horizontal="center" vertical="center"/>
    </xf>
    <xf numFmtId="0" fontId="5" fillId="3" borderId="5" applyAlignment="1" pivotButton="0" quotePrefix="0" xfId="0">
      <alignment horizontal="center" vertical="center"/>
    </xf>
    <xf numFmtId="0" fontId="2" fillId="0" borderId="13" applyAlignment="1" applyProtection="1" pivotButton="0" quotePrefix="0" xfId="1">
      <alignment vertical="center"/>
      <protection locked="1" hidden="1"/>
    </xf>
    <xf numFmtId="0" fontId="2" fillId="0" borderId="13" applyAlignment="1" applyProtection="1" pivotButton="0" quotePrefix="0" xfId="1">
      <alignment horizontal="center" vertical="center"/>
      <protection locked="1" hidden="1"/>
    </xf>
    <xf numFmtId="0" fontId="5" fillId="0" borderId="5" applyAlignment="1" pivotButton="0" quotePrefix="0" xfId="0">
      <alignment vertical="center"/>
    </xf>
    <xf numFmtId="0" fontId="0" fillId="0" borderId="0" applyAlignment="1" pivotButton="0" quotePrefix="0" xfId="0">
      <alignment horizontal="left" vertical="center"/>
    </xf>
    <xf numFmtId="0" fontId="24" fillId="0" borderId="5" applyAlignment="1" pivotButton="0" quotePrefix="0" xfId="0">
      <alignment horizontal="center" vertical="center" wrapText="1"/>
    </xf>
    <xf numFmtId="0" fontId="5" fillId="0" borderId="5" applyAlignment="1" pivotButton="0" quotePrefix="0" xfId="0">
      <alignment vertical="center" wrapText="1"/>
    </xf>
    <xf numFmtId="0" fontId="5" fillId="5" borderId="0" applyAlignment="1" pivotButton="0" quotePrefix="0" xfId="0">
      <alignment horizontal="left" vertical="center"/>
    </xf>
    <xf numFmtId="0" fontId="5" fillId="4" borderId="5" applyAlignment="1" pivotButton="0" quotePrefix="0" xfId="0">
      <alignment horizontal="center" vertical="center"/>
    </xf>
    <xf numFmtId="0" fontId="5" fillId="5" borderId="0" applyAlignment="1" pivotButton="0" quotePrefix="0" xfId="0">
      <alignment vertical="center" wrapText="1"/>
    </xf>
    <xf numFmtId="0" fontId="5" fillId="0" borderId="13" applyAlignment="1" pivotButton="0" quotePrefix="0" xfId="0">
      <alignment vertical="center"/>
    </xf>
    <xf numFmtId="0" fontId="5" fillId="0" borderId="19" applyAlignment="1" pivotButton="0" quotePrefix="0" xfId="0">
      <alignment vertical="center"/>
    </xf>
    <xf numFmtId="0" fontId="5" fillId="0" borderId="0" applyAlignment="1" pivotButton="0" quotePrefix="0" xfId="0">
      <alignment vertical="top" wrapText="1"/>
    </xf>
    <xf numFmtId="0" fontId="24" fillId="0" borderId="0" applyAlignment="1" pivotButton="0" quotePrefix="0" xfId="0">
      <alignment vertical="center"/>
    </xf>
    <xf numFmtId="0" fontId="27" fillId="0" borderId="0" applyAlignment="1" pivotButton="0" quotePrefix="0" xfId="0">
      <alignment vertical="center"/>
    </xf>
    <xf numFmtId="0" fontId="28" fillId="0" borderId="0" applyAlignment="1" pivotButton="0" quotePrefix="0" xfId="0">
      <alignment vertical="center"/>
    </xf>
    <xf numFmtId="0" fontId="29" fillId="0" borderId="0" applyAlignment="1" pivotButton="0" quotePrefix="0" xfId="0">
      <alignment vertical="center"/>
    </xf>
    <xf numFmtId="0" fontId="12" fillId="0" borderId="0" applyAlignment="1" pivotButton="0" quotePrefix="0" xfId="0">
      <alignment horizontal="justify" vertical="center" wrapText="1"/>
    </xf>
    <xf numFmtId="0" fontId="12" fillId="0" borderId="30" applyAlignment="1" pivotButton="0" quotePrefix="0" xfId="0">
      <alignment horizontal="justify" vertical="center" wrapText="1"/>
    </xf>
    <xf numFmtId="0" fontId="12" fillId="0" borderId="31" applyAlignment="1" pivotButton="0" quotePrefix="0" xfId="0">
      <alignment horizontal="justify" vertical="center" wrapText="1"/>
    </xf>
    <xf numFmtId="0" fontId="12" fillId="0" borderId="32" applyAlignment="1" pivotButton="0" quotePrefix="0" xfId="0">
      <alignment horizontal="justify" vertical="center" wrapText="1"/>
    </xf>
    <xf numFmtId="0" fontId="30" fillId="0" borderId="31" applyAlignment="1" pivotButton="0" quotePrefix="0" xfId="0">
      <alignment horizontal="justify" vertical="center" wrapText="1"/>
    </xf>
    <xf numFmtId="0" fontId="30" fillId="0" borderId="31" applyAlignment="1" pivotButton="0" quotePrefix="0" xfId="0">
      <alignment horizontal="center" vertical="center" wrapText="1"/>
    </xf>
    <xf numFmtId="0" fontId="6" fillId="0" borderId="32" applyAlignment="1" pivotButton="0" quotePrefix="0" xfId="0">
      <alignment horizontal="justify" vertical="center" wrapText="1"/>
    </xf>
    <xf numFmtId="0" fontId="31" fillId="0" borderId="33" applyAlignment="1" pivotButton="0" quotePrefix="0" xfId="0">
      <alignment horizontal="justify" vertical="center" wrapText="1"/>
    </xf>
    <xf numFmtId="0" fontId="31" fillId="0" borderId="34" applyAlignment="1" pivotButton="0" quotePrefix="0" xfId="0">
      <alignment horizontal="justify" vertical="center" wrapText="1"/>
    </xf>
    <xf numFmtId="0" fontId="31" fillId="0" borderId="35" applyAlignment="1" pivotButton="0" quotePrefix="0" xfId="0">
      <alignment horizontal="justify" vertical="center" wrapText="1"/>
    </xf>
    <xf numFmtId="0" fontId="35" fillId="0" borderId="0" applyAlignment="1" pivotButton="0" quotePrefix="0" xfId="0">
      <alignment vertical="center"/>
    </xf>
    <xf numFmtId="0" fontId="36" fillId="0" borderId="0" applyAlignment="1" pivotButton="0" quotePrefix="0" xfId="0">
      <alignment vertical="center"/>
    </xf>
    <xf numFmtId="0" fontId="5" fillId="0" borderId="40" applyAlignment="1" pivotButton="0" quotePrefix="0" xfId="0">
      <alignment vertical="center"/>
    </xf>
    <xf numFmtId="0" fontId="5" fillId="0" borderId="41" applyAlignment="1" pivotButton="0" quotePrefix="0" xfId="0">
      <alignment vertical="center"/>
    </xf>
    <xf numFmtId="0" fontId="5" fillId="0" borderId="37" applyAlignment="1" pivotButton="0" quotePrefix="0" xfId="0">
      <alignment vertical="center"/>
    </xf>
    <xf numFmtId="0" fontId="5" fillId="0" borderId="38" applyAlignment="1" pivotButton="0" quotePrefix="0" xfId="0">
      <alignment vertical="center"/>
    </xf>
    <xf numFmtId="0" fontId="30" fillId="0" borderId="41" applyAlignment="1" pivotButton="0" quotePrefix="0" xfId="0">
      <alignment vertical="center"/>
    </xf>
    <xf numFmtId="0" fontId="5" fillId="0" borderId="39" applyAlignment="1" pivotButton="0" quotePrefix="0" xfId="0">
      <alignment vertical="center"/>
    </xf>
    <xf numFmtId="0" fontId="5" fillId="0" borderId="36" applyAlignment="1" pivotButton="0" quotePrefix="0" xfId="0">
      <alignment vertical="center"/>
    </xf>
    <xf numFmtId="0" fontId="5" fillId="0" borderId="30" applyAlignment="1" pivotButton="0" quotePrefix="0" xfId="0">
      <alignment vertical="center"/>
    </xf>
    <xf numFmtId="0" fontId="37" fillId="0" borderId="0" applyAlignment="1" pivotButton="0" quotePrefix="0" xfId="0">
      <alignment vertical="center"/>
    </xf>
    <xf numFmtId="0" fontId="5" fillId="0" borderId="42" applyAlignment="1" pivotButton="0" quotePrefix="0" xfId="0">
      <alignment vertical="center"/>
    </xf>
    <xf numFmtId="0" fontId="5" fillId="0" borderId="43" applyAlignment="1" pivotButton="0" quotePrefix="0" xfId="0">
      <alignment vertical="center"/>
    </xf>
    <xf numFmtId="0" fontId="5" fillId="0" borderId="44" applyAlignment="1" pivotButton="0" quotePrefix="0" xfId="0">
      <alignment vertical="center"/>
    </xf>
    <xf numFmtId="0" fontId="5" fillId="0" borderId="50" applyAlignment="1" pivotButton="0" quotePrefix="0" xfId="0">
      <alignment vertical="center"/>
    </xf>
    <xf numFmtId="0" fontId="5" fillId="0" borderId="47" applyAlignment="1" pivotButton="0" quotePrefix="0" xfId="0">
      <alignment vertical="center"/>
    </xf>
    <xf numFmtId="0" fontId="30" fillId="0" borderId="51" applyAlignment="1" pivotButton="0" quotePrefix="0" xfId="0">
      <alignment vertical="center"/>
    </xf>
    <xf numFmtId="0" fontId="5" fillId="0" borderId="52" applyAlignment="1" pivotButton="0" quotePrefix="0" xfId="0">
      <alignment vertical="center"/>
    </xf>
    <xf numFmtId="0" fontId="30" fillId="0" borderId="53" applyAlignment="1" pivotButton="0" quotePrefix="0" xfId="0">
      <alignment vertical="center"/>
    </xf>
    <xf numFmtId="0" fontId="30" fillId="0" borderId="49" applyAlignment="1" pivotButton="0" quotePrefix="0" xfId="0">
      <alignment vertical="center"/>
    </xf>
    <xf numFmtId="0" fontId="5" fillId="0" borderId="54" applyAlignment="1" pivotButton="0" quotePrefix="0" xfId="0">
      <alignment vertical="center"/>
    </xf>
    <xf numFmtId="0" fontId="5" fillId="0" borderId="55" applyAlignment="1" pivotButton="0" quotePrefix="0" xfId="0">
      <alignment vertical="center"/>
    </xf>
    <xf numFmtId="0" fontId="5" fillId="0" borderId="56" applyAlignment="1" pivotButton="0" quotePrefix="0" xfId="0">
      <alignment vertical="center"/>
    </xf>
    <xf numFmtId="0" fontId="5" fillId="0" borderId="16" applyAlignment="1" pivotButton="0" quotePrefix="0" xfId="0">
      <alignment vertical="center"/>
    </xf>
    <xf numFmtId="0" fontId="5" fillId="0" borderId="57" applyAlignment="1" pivotButton="0" quotePrefix="0" xfId="0">
      <alignment vertical="center"/>
    </xf>
    <xf numFmtId="0" fontId="5" fillId="0" borderId="14" applyAlignment="1" pivotButton="0" quotePrefix="0" xfId="0">
      <alignment vertical="center"/>
    </xf>
    <xf numFmtId="0" fontId="38" fillId="0" borderId="0" applyAlignment="1" pivotButton="0" quotePrefix="0" xfId="1">
      <alignment vertical="center"/>
    </xf>
    <xf numFmtId="0" fontId="24" fillId="0" borderId="0" applyAlignment="1" pivotButton="0" quotePrefix="0" xfId="0">
      <alignment horizontal="left" vertical="center" wrapText="1"/>
    </xf>
    <xf numFmtId="0" fontId="6" fillId="0" borderId="59" applyAlignment="1" applyProtection="1" pivotButton="0" quotePrefix="0" xfId="0">
      <alignment horizontal="distributed" vertical="center" wrapText="1"/>
      <protection locked="1" hidden="1"/>
    </xf>
    <xf numFmtId="0" fontId="6" fillId="0" borderId="5" applyAlignment="1" applyProtection="1" pivotButton="0" quotePrefix="0" xfId="0">
      <alignment horizontal="distributed" vertical="center" wrapText="1"/>
      <protection locked="1" hidden="1"/>
    </xf>
    <xf numFmtId="0" fontId="6" fillId="0" borderId="5" applyAlignment="1" applyProtection="1" pivotButton="0" quotePrefix="0" xfId="0">
      <alignment vertical="center" wrapText="1"/>
      <protection locked="1" hidden="1"/>
    </xf>
    <xf numFmtId="0" fontId="6" fillId="0" borderId="61" applyAlignment="1" applyProtection="1" pivotButton="0" quotePrefix="0" xfId="0">
      <alignment horizontal="distributed" vertical="center" wrapText="1"/>
      <protection locked="1" hidden="1"/>
    </xf>
    <xf numFmtId="0" fontId="6" fillId="0" borderId="62" applyAlignment="1" applyProtection="1" pivotButton="0" quotePrefix="0" xfId="0">
      <alignment horizontal="justify" vertical="center" wrapText="1"/>
      <protection locked="1" hidden="1"/>
    </xf>
    <xf numFmtId="0" fontId="6" fillId="0" borderId="9" applyAlignment="1" applyProtection="1" pivotButton="0" quotePrefix="0" xfId="0">
      <alignment horizontal="center" vertical="center" wrapText="1"/>
      <protection locked="1" hidden="1"/>
    </xf>
    <xf numFmtId="0" fontId="5" fillId="0" borderId="63" applyAlignment="1" applyProtection="1" pivotButton="0" quotePrefix="0" xfId="0">
      <alignment horizontal="justify" vertical="center" wrapText="1"/>
      <protection locked="1" hidden="1"/>
    </xf>
    <xf numFmtId="0" fontId="6" fillId="0" borderId="5" applyAlignment="1" applyProtection="1" pivotButton="0" quotePrefix="0" xfId="0">
      <alignment horizontal="justify" vertical="center" wrapText="1"/>
      <protection locked="1" hidden="1"/>
    </xf>
    <xf numFmtId="0" fontId="5" fillId="0" borderId="5" applyAlignment="1" applyProtection="1" pivotButton="0" quotePrefix="0" xfId="0">
      <alignment vertical="center" wrapText="1"/>
      <protection locked="1" hidden="1"/>
    </xf>
    <xf numFmtId="0" fontId="6" fillId="0" borderId="64" applyAlignment="1" applyProtection="1" pivotButton="0" quotePrefix="0" xfId="0">
      <alignment horizontal="justify" vertical="center" wrapText="1"/>
      <protection locked="1" hidden="1"/>
    </xf>
    <xf numFmtId="0" fontId="27" fillId="0" borderId="0" applyAlignment="1" pivotButton="0" quotePrefix="0" xfId="0">
      <alignment vertical="center" wrapText="1"/>
    </xf>
    <xf numFmtId="0" fontId="6" fillId="0" borderId="68" applyAlignment="1" applyProtection="1" pivotButton="0" quotePrefix="0" xfId="0">
      <alignment horizontal="distributed" vertical="center" wrapText="1"/>
      <protection locked="1" hidden="1"/>
    </xf>
    <xf numFmtId="0" fontId="39" fillId="0" borderId="0" applyAlignment="1" pivotButton="0" quotePrefix="0" xfId="0">
      <alignment vertical="center"/>
    </xf>
    <xf numFmtId="0" fontId="8" fillId="0" borderId="0" applyAlignment="1" pivotButton="0" quotePrefix="0" xfId="0">
      <alignment vertical="center"/>
    </xf>
    <xf numFmtId="0" fontId="10" fillId="0" borderId="0" applyAlignment="1" pivotButton="0" quotePrefix="0" xfId="0">
      <alignment horizontal="left" vertical="center" wrapText="1"/>
    </xf>
    <xf numFmtId="0" fontId="32" fillId="0" borderId="0" applyAlignment="1" pivotButton="0" quotePrefix="0" xfId="0">
      <alignment vertical="center"/>
    </xf>
    <xf numFmtId="0" fontId="41" fillId="0" borderId="0" applyAlignment="1" pivotButton="0" quotePrefix="0" xfId="0">
      <alignment vertical="center"/>
    </xf>
    <xf numFmtId="0" fontId="42" fillId="0" borderId="0" applyAlignment="1" pivotButton="0" quotePrefix="0" xfId="0">
      <alignment vertical="center" wrapText="1"/>
    </xf>
    <xf numFmtId="0" fontId="5" fillId="0" borderId="31"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72" applyAlignment="1" pivotButton="0" quotePrefix="0" xfId="0">
      <alignment horizontal="center" vertical="center" wrapText="1"/>
    </xf>
    <xf numFmtId="0" fontId="5" fillId="0" borderId="48" applyAlignment="1" pivotButton="0" quotePrefix="0" xfId="0">
      <alignment horizontal="center" vertical="center" wrapText="1"/>
    </xf>
    <xf numFmtId="0" fontId="5" fillId="0" borderId="88" applyAlignment="1" pivotButton="0" quotePrefix="0" xfId="0">
      <alignment horizontal="center" vertical="center" wrapText="1"/>
    </xf>
    <xf numFmtId="0" fontId="24" fillId="0" borderId="37" applyAlignment="1" pivotButton="0" quotePrefix="0" xfId="0">
      <alignment vertical="top" wrapText="1"/>
    </xf>
    <xf numFmtId="0" fontId="24" fillId="0" borderId="0" applyAlignment="1" pivotButton="0" quotePrefix="0" xfId="0">
      <alignment vertical="top" wrapText="1"/>
    </xf>
    <xf numFmtId="0" fontId="24" fillId="0" borderId="92" applyAlignment="1" pivotButton="0" quotePrefix="0" xfId="0">
      <alignment vertical="top" wrapText="1"/>
    </xf>
    <xf numFmtId="0" fontId="24" fillId="0" borderId="19" applyAlignment="1" pivotButton="0" quotePrefix="0" xfId="0">
      <alignment vertical="top" wrapText="1"/>
    </xf>
    <xf numFmtId="0" fontId="24" fillId="0" borderId="37" applyAlignment="1" pivotButton="0" quotePrefix="0" xfId="0">
      <alignment horizontal="left" vertical="center" wrapText="1"/>
    </xf>
    <xf numFmtId="0" fontId="24" fillId="0" borderId="0" applyAlignment="1" pivotButton="0" quotePrefix="0" xfId="0">
      <alignment horizontal="center" vertical="center" wrapText="1"/>
    </xf>
    <xf numFmtId="0" fontId="0" fillId="0" borderId="19" applyAlignment="1" pivotButton="0" quotePrefix="0" xfId="0">
      <alignment vertical="center"/>
    </xf>
    <xf numFmtId="0" fontId="24" fillId="0" borderId="19" applyAlignment="1" pivotButton="0" quotePrefix="0" xfId="0">
      <alignment vertical="center" wrapText="1"/>
    </xf>
    <xf numFmtId="0" fontId="24" fillId="0" borderId="19" applyAlignment="1" pivotButton="0" quotePrefix="0" xfId="0">
      <alignment horizontal="center" vertical="center" wrapText="1"/>
    </xf>
    <xf numFmtId="49" fontId="24" fillId="0" borderId="19" applyAlignment="1" pivotButton="0" quotePrefix="0" xfId="0">
      <alignment horizontal="center" vertical="center" wrapText="1"/>
    </xf>
    <xf numFmtId="0" fontId="24" fillId="0" borderId="38" applyAlignment="1" pivotButton="0" quotePrefix="0" xfId="0">
      <alignment horizontal="center" vertical="center" wrapText="1"/>
    </xf>
    <xf numFmtId="0" fontId="24" fillId="0" borderId="94" applyAlignment="1" pivotButton="0" quotePrefix="0" xfId="0">
      <alignment horizontal="center" vertical="center" wrapText="1"/>
    </xf>
    <xf numFmtId="0" fontId="24" fillId="0" borderId="5" applyAlignment="1" pivotButton="0" quotePrefix="0" xfId="0">
      <alignment horizontal="distributed" vertical="center" wrapText="1"/>
    </xf>
    <xf numFmtId="0" fontId="24" fillId="0" borderId="0" applyAlignment="1" pivotButton="0" quotePrefix="0" xfId="0">
      <alignment vertical="center" wrapText="1"/>
    </xf>
    <xf numFmtId="0" fontId="24" fillId="0" borderId="36" applyAlignment="1" pivotButton="0" quotePrefix="0" xfId="0">
      <alignment horizontal="center" vertical="center" wrapText="1"/>
    </xf>
    <xf numFmtId="49" fontId="0" fillId="0" borderId="0" applyAlignment="1" pivotButton="0" quotePrefix="0" xfId="0">
      <alignment horizontal="right" vertical="center"/>
    </xf>
    <xf numFmtId="0" fontId="39" fillId="0" borderId="0" applyAlignment="1" pivotButton="0" quotePrefix="0" xfId="0">
      <alignment horizontal="left" vertical="center" indent="5"/>
    </xf>
    <xf numFmtId="0" fontId="5" fillId="0" borderId="0" applyAlignment="1" pivotButton="0" quotePrefix="0" xfId="0">
      <alignment horizontal="left" vertical="center" indent="5"/>
    </xf>
    <xf numFmtId="0" fontId="6" fillId="0" borderId="63" applyAlignment="1" pivotButton="0" quotePrefix="0" xfId="0">
      <alignment vertical="center" wrapText="1"/>
    </xf>
    <xf numFmtId="0" fontId="6" fillId="0" borderId="61" applyAlignment="1" pivotButton="0" quotePrefix="0" xfId="0">
      <alignment horizontal="center" vertical="center" wrapText="1"/>
    </xf>
    <xf numFmtId="49" fontId="6" fillId="0" borderId="5" applyAlignment="1" pivotButton="0" quotePrefix="0" xfId="0">
      <alignment vertical="center" wrapText="1"/>
    </xf>
    <xf numFmtId="49" fontId="6" fillId="0" borderId="5" applyAlignment="1" pivotButton="0" quotePrefix="0" xfId="0">
      <alignment horizontal="center" vertical="center" wrapText="1"/>
    </xf>
    <xf numFmtId="0" fontId="5" fillId="0" borderId="5" applyAlignment="1" pivotButton="0" quotePrefix="0" xfId="0">
      <alignment horizontal="justify" vertical="center" wrapText="1"/>
    </xf>
    <xf numFmtId="0" fontId="5" fillId="0" borderId="98" applyAlignment="1" pivotButton="0" quotePrefix="0" xfId="0">
      <alignment horizontal="center" vertical="center" wrapText="1"/>
    </xf>
    <xf numFmtId="0" fontId="5" fillId="0" borderId="99" applyAlignment="1" pivotButton="0" quotePrefix="0" xfId="0">
      <alignment horizontal="distributed" vertical="center" wrapText="1"/>
    </xf>
    <xf numFmtId="0" fontId="7" fillId="0" borderId="75" applyAlignment="1" pivotButton="0" quotePrefix="0" xfId="0">
      <alignment vertical="center" wrapText="1"/>
    </xf>
    <xf numFmtId="0" fontId="48" fillId="0" borderId="0" applyAlignment="1" pivotButton="0" quotePrefix="0" xfId="0">
      <alignment vertical="center"/>
    </xf>
    <xf numFmtId="0" fontId="0" fillId="0" borderId="100" applyAlignment="1" pivotButton="0" quotePrefix="0" xfId="0">
      <alignment vertical="center"/>
    </xf>
    <xf numFmtId="0" fontId="0" fillId="5" borderId="0" applyAlignment="1" pivotButton="0" quotePrefix="0" xfId="0">
      <alignment vertical="center"/>
    </xf>
    <xf numFmtId="49" fontId="5" fillId="0" borderId="0" applyAlignment="1" pivotButton="0" quotePrefix="0" xfId="0">
      <alignment vertical="center"/>
    </xf>
    <xf numFmtId="0" fontId="25" fillId="9" borderId="5" applyAlignment="1" pivotButton="0" quotePrefix="0" xfId="0">
      <alignment horizontal="center" vertical="center"/>
    </xf>
    <xf numFmtId="0" fontId="27" fillId="0" borderId="10" applyAlignment="1" pivotButton="0" quotePrefix="0" xfId="0">
      <alignment vertical="center" wrapText="1"/>
    </xf>
    <xf numFmtId="0" fontId="37" fillId="0" borderId="0" applyAlignment="1" pivotButton="0" quotePrefix="0" xfId="0">
      <alignment vertical="center" wrapText="1"/>
    </xf>
    <xf numFmtId="0" fontId="37" fillId="0" borderId="27" applyAlignment="1" pivotButton="0" quotePrefix="0" xfId="0">
      <alignment horizontal="justify" wrapText="1"/>
    </xf>
    <xf numFmtId="0" fontId="37" fillId="0" borderId="19" applyAlignment="1" pivotButton="0" quotePrefix="0" xfId="0">
      <alignment vertical="center" wrapText="1"/>
    </xf>
    <xf numFmtId="0" fontId="37" fillId="0" borderId="13" applyAlignment="1" pivotButton="0" quotePrefix="0" xfId="0">
      <alignment vertical="center" wrapText="1"/>
    </xf>
    <xf numFmtId="0" fontId="13" fillId="0" borderId="0" applyAlignment="1" pivotButton="0" quotePrefix="0" xfId="0">
      <alignment vertical="center"/>
    </xf>
    <xf numFmtId="0" fontId="11" fillId="0" borderId="0" applyAlignment="1" pivotButton="0" quotePrefix="0" xfId="0">
      <alignment vertical="center"/>
    </xf>
    <xf numFmtId="0" fontId="53" fillId="0" borderId="0" applyAlignment="1" pivotButton="0" quotePrefix="0" xfId="0">
      <alignment vertical="center"/>
    </xf>
    <xf numFmtId="0" fontId="7" fillId="0" borderId="0" applyAlignment="1" pivotButton="0" quotePrefix="0" xfId="0">
      <alignment vertical="center"/>
    </xf>
    <xf numFmtId="0" fontId="6" fillId="6" borderId="5" applyAlignment="1" pivotButton="0" quotePrefix="0" xfId="0">
      <alignment horizontal="center" vertical="center"/>
    </xf>
    <xf numFmtId="0" fontId="5" fillId="0" borderId="101" applyAlignment="1" pivotButton="0" quotePrefix="0" xfId="0">
      <alignment horizontal="left" vertical="center" wrapText="1"/>
    </xf>
    <xf numFmtId="0" fontId="5" fillId="0" borderId="103" applyAlignment="1" pivotButton="0" quotePrefix="0" xfId="0">
      <alignment horizontal="left" vertical="center" wrapText="1"/>
    </xf>
    <xf numFmtId="0" fontId="5" fillId="0" borderId="105" applyAlignment="1" pivotButton="0" quotePrefix="0" xfId="0">
      <alignment horizontal="center" vertical="center" wrapText="1"/>
    </xf>
    <xf numFmtId="0" fontId="5" fillId="0" borderId="106" applyAlignment="1" pivotButton="0" quotePrefix="0" xfId="0">
      <alignment horizontal="left" vertical="center" wrapText="1"/>
    </xf>
    <xf numFmtId="0" fontId="6" fillId="0" borderId="5" applyAlignment="1" pivotButton="0" quotePrefix="0" xfId="0">
      <alignment horizontal="center" vertical="center"/>
    </xf>
    <xf numFmtId="0" fontId="5" fillId="0" borderId="9" applyAlignment="1" pivotButton="0" quotePrefix="0" xfId="0">
      <alignment vertical="center"/>
    </xf>
    <xf numFmtId="0" fontId="34" fillId="8" borderId="29" applyAlignment="1" pivotButton="0" quotePrefix="0" xfId="0">
      <alignment horizontal="center" vertical="center" wrapText="1"/>
    </xf>
    <xf numFmtId="0" fontId="34" fillId="8" borderId="25" applyAlignment="1" pivotButton="0" quotePrefix="0" xfId="0">
      <alignment horizontal="center" vertical="center" wrapText="1"/>
    </xf>
    <xf numFmtId="0" fontId="26" fillId="0" borderId="0" applyAlignment="1" pivotButton="0" quotePrefix="0" xfId="0">
      <alignment vertical="center"/>
    </xf>
    <xf numFmtId="0" fontId="45" fillId="0" borderId="5" applyAlignment="1" pivotButton="0" quotePrefix="0" xfId="0">
      <alignment horizontal="center" vertical="center"/>
    </xf>
    <xf numFmtId="0" fontId="5" fillId="0" borderId="0" applyAlignment="1" pivotButton="0" quotePrefix="0" xfId="0">
      <alignment horizontal="left"/>
    </xf>
    <xf numFmtId="0" fontId="37" fillId="0" borderId="5" applyAlignment="1" pivotButton="0" quotePrefix="0" xfId="0">
      <alignment horizontal="center" vertical="center"/>
    </xf>
    <xf numFmtId="0" fontId="5" fillId="0" borderId="0" applyAlignment="1" pivotButton="0" quotePrefix="0" xfId="0">
      <alignment horizontal="left" vertical="center" indent="2"/>
    </xf>
    <xf numFmtId="0" fontId="70" fillId="0" borderId="0" applyAlignment="1" pivotButton="0" quotePrefix="0" xfId="0">
      <alignment vertical="center"/>
    </xf>
    <xf numFmtId="0" fontId="24" fillId="0" borderId="0" applyAlignment="1" pivotButton="0" quotePrefix="0" xfId="0">
      <alignment horizontal="left" vertical="center" indent="1"/>
    </xf>
    <xf numFmtId="0" fontId="24" fillId="0" borderId="0" applyAlignment="1" pivotButton="0" quotePrefix="0" xfId="0">
      <alignment horizontal="left" vertical="center" indent="3"/>
    </xf>
    <xf numFmtId="0" fontId="5" fillId="5" borderId="5" applyAlignment="1" pivotButton="0" quotePrefix="0" xfId="0">
      <alignment horizontal="center" vertical="center"/>
    </xf>
    <xf numFmtId="0" fontId="6" fillId="0" borderId="9" applyAlignment="1" pivotButton="0" quotePrefix="0" xfId="0">
      <alignment horizontal="center" vertical="center" wrapText="1"/>
    </xf>
    <xf numFmtId="0" fontId="6" fillId="0" borderId="10" applyAlignment="1" pivotButton="0" quotePrefix="0" xfId="0">
      <alignment horizontal="center" vertical="center" wrapText="1"/>
    </xf>
    <xf numFmtId="0" fontId="37" fillId="0" borderId="5" applyAlignment="1" pivotButton="0" quotePrefix="0" xfId="0">
      <alignment horizontal="center" vertical="center" wrapText="1"/>
    </xf>
    <xf numFmtId="0" fontId="0" fillId="0" borderId="111" applyAlignment="1" applyProtection="1" pivotButton="0" quotePrefix="0" xfId="0">
      <alignment vertical="top" wrapText="1"/>
      <protection locked="1" hidden="1"/>
    </xf>
    <xf numFmtId="0" fontId="0" fillId="0" borderId="112" applyAlignment="1" applyProtection="1" pivotButton="0" quotePrefix="0" xfId="0">
      <alignment vertical="top" wrapText="1"/>
      <protection locked="1" hidden="1"/>
    </xf>
    <xf numFmtId="0" fontId="11" fillId="0" borderId="112" applyAlignment="1" applyProtection="1" pivotButton="0" quotePrefix="0" xfId="0">
      <alignment vertical="center" wrapText="1"/>
      <protection locked="1" hidden="1"/>
    </xf>
    <xf numFmtId="0" fontId="11" fillId="0" borderId="112" applyAlignment="1" applyProtection="1" pivotButton="0" quotePrefix="0" xfId="0">
      <alignment horizontal="justify" vertical="center" wrapText="1"/>
      <protection locked="1" hidden="1"/>
    </xf>
    <xf numFmtId="0" fontId="0" fillId="0" borderId="111" applyAlignment="1" applyProtection="1" pivotButton="0" quotePrefix="0" xfId="0">
      <alignment vertical="center" wrapText="1"/>
      <protection locked="1" hidden="1"/>
    </xf>
    <xf numFmtId="0" fontId="2" fillId="0" borderId="5" applyAlignment="1" pivotButton="0" quotePrefix="0" xfId="3">
      <alignment vertical="top" wrapText="1"/>
    </xf>
    <xf numFmtId="0" fontId="53" fillId="0" borderId="115" applyAlignment="1" pivotButton="0" quotePrefix="0" xfId="3">
      <alignment wrapText="1"/>
    </xf>
    <xf numFmtId="0" fontId="44" fillId="0" borderId="25" applyAlignment="1" pivotButton="0" quotePrefix="0" xfId="3">
      <alignment vertical="top" wrapText="1"/>
    </xf>
    <xf numFmtId="0" fontId="53" fillId="0" borderId="5" applyAlignment="1" pivotButton="0" quotePrefix="0" xfId="3">
      <alignment vertical="top" wrapText="1"/>
    </xf>
    <xf numFmtId="0" fontId="55" fillId="0" borderId="5" applyAlignment="1" pivotButton="0" quotePrefix="0" xfId="3">
      <alignment vertical="top" wrapText="1"/>
    </xf>
    <xf numFmtId="0" fontId="53" fillId="0" borderId="0" applyAlignment="1" pivotButton="0" quotePrefix="0" xfId="3">
      <alignment wrapText="1"/>
    </xf>
    <xf numFmtId="0" fontId="55" fillId="0" borderId="122" applyAlignment="1" pivotButton="0" quotePrefix="0" xfId="3">
      <alignment horizontal="left" vertical="top" wrapText="1" indent="6"/>
    </xf>
    <xf numFmtId="0" fontId="31" fillId="0" borderId="0" applyAlignment="1" pivotButton="0" quotePrefix="0" xfId="0">
      <alignment vertical="center" wrapText="1"/>
    </xf>
    <xf numFmtId="0" fontId="5" fillId="0" borderId="9" applyAlignment="1" pivotButton="0" quotePrefix="0" xfId="0">
      <alignment horizontal="justify" vertical="center" wrapText="1"/>
    </xf>
    <xf numFmtId="0" fontId="5" fillId="0" borderId="10" applyAlignment="1" pivotButton="0" quotePrefix="0" xfId="0">
      <alignment horizontal="justify" vertical="center" wrapText="1"/>
    </xf>
    <xf numFmtId="0" fontId="24" fillId="0" borderId="9" applyAlignment="1" pivotButton="0" quotePrefix="0" xfId="0">
      <alignment horizontal="justify" vertical="center" wrapText="1"/>
    </xf>
    <xf numFmtId="0" fontId="37" fillId="0" borderId="5" applyAlignment="1" pivotButton="0" quotePrefix="0" xfId="0">
      <alignment horizontal="center" vertical="top" wrapText="1"/>
    </xf>
    <xf numFmtId="0" fontId="6" fillId="0" borderId="25" applyAlignment="1" pivotButton="0" quotePrefix="0" xfId="0">
      <alignment horizontal="center" vertical="center"/>
    </xf>
    <xf numFmtId="0" fontId="6" fillId="0" borderId="26" applyAlignment="1" pivotButton="0" quotePrefix="0" xfId="0">
      <alignment vertical="center"/>
    </xf>
    <xf numFmtId="0" fontId="74" fillId="0" borderId="0" applyAlignment="1" pivotButton="0" quotePrefix="0" xfId="0">
      <alignment vertical="center" wrapText="1"/>
    </xf>
    <xf numFmtId="0" fontId="5" fillId="0" borderId="127" applyAlignment="1" pivotButton="0" quotePrefix="0" xfId="0">
      <alignment vertical="center" wrapText="1"/>
    </xf>
    <xf numFmtId="0" fontId="74" fillId="0" borderId="130" applyAlignment="1" pivotButton="0" quotePrefix="0" xfId="0">
      <alignment vertical="center" wrapText="1"/>
    </xf>
    <xf numFmtId="0" fontId="5" fillId="0" borderId="84" applyAlignment="1" pivotButton="0" quotePrefix="0" xfId="0">
      <alignment vertical="center"/>
    </xf>
    <xf numFmtId="0" fontId="5" fillId="0" borderId="86" applyAlignment="1" pivotButton="0" quotePrefix="0" xfId="0">
      <alignment vertical="center"/>
    </xf>
    <xf numFmtId="0" fontId="6" fillId="0" borderId="113" applyAlignment="1" pivotButton="0" quotePrefix="0" xfId="0">
      <alignment horizontal="center" vertical="center" wrapText="1"/>
    </xf>
    <xf numFmtId="0" fontId="33" fillId="0" borderId="0" applyAlignment="1" pivotButton="0" quotePrefix="0" xfId="0">
      <alignment vertical="center"/>
    </xf>
    <xf numFmtId="0" fontId="55" fillId="0" borderId="9" applyAlignment="1" pivotButton="0" quotePrefix="0" xfId="0">
      <alignment vertical="center"/>
    </xf>
    <xf numFmtId="0" fontId="55" fillId="0" borderId="18" applyAlignment="1" pivotButton="0" quotePrefix="0" xfId="0">
      <alignment vertical="center"/>
    </xf>
    <xf numFmtId="0" fontId="55" fillId="0" borderId="19" applyAlignment="1" pivotButton="0" quotePrefix="0" xfId="0">
      <alignment vertical="center"/>
    </xf>
    <xf numFmtId="0" fontId="61" fillId="0" borderId="0" applyAlignment="1" pivotButton="0" quotePrefix="0" xfId="0">
      <alignment vertical="center"/>
    </xf>
    <xf numFmtId="0" fontId="83" fillId="0" borderId="48" applyAlignment="1" applyProtection="1" pivotButton="0" quotePrefix="0" xfId="0">
      <alignment vertical="center" wrapText="1"/>
      <protection locked="1" hidden="1"/>
    </xf>
    <xf numFmtId="0" fontId="77" fillId="14" borderId="48" applyAlignment="1" applyProtection="1" pivotButton="0" quotePrefix="0" xfId="0">
      <alignment horizontal="center" vertical="center" wrapText="1"/>
      <protection locked="1" hidden="1"/>
    </xf>
    <xf numFmtId="0" fontId="0" fillId="14" borderId="47" applyAlignment="1" applyProtection="1" pivotButton="0" quotePrefix="0" xfId="0">
      <alignment vertical="center" wrapText="1"/>
      <protection locked="1" hidden="1"/>
    </xf>
    <xf numFmtId="0" fontId="0" fillId="14" borderId="50" applyAlignment="1" applyProtection="1" pivotButton="0" quotePrefix="0" xfId="0">
      <alignment vertical="center" wrapText="1"/>
      <protection locked="1" hidden="1"/>
    </xf>
    <xf numFmtId="0" fontId="84" fillId="0" borderId="47" applyAlignment="1" applyProtection="1" pivotButton="0" quotePrefix="0" xfId="0">
      <alignment horizontal="center" vertical="center" wrapText="1"/>
      <protection locked="1" hidden="1"/>
    </xf>
    <xf numFmtId="0" fontId="60" fillId="14" borderId="50" applyAlignment="1" applyProtection="1" pivotButton="0" quotePrefix="0" xfId="0">
      <alignment horizontal="center" vertical="center" wrapText="1"/>
      <protection locked="1" hidden="1"/>
    </xf>
    <xf numFmtId="0" fontId="60" fillId="14" borderId="47" applyAlignment="1" applyProtection="1" pivotButton="0" quotePrefix="0" xfId="0">
      <alignment horizontal="center" vertical="center" wrapText="1"/>
      <protection locked="1" hidden="1"/>
    </xf>
    <xf numFmtId="0" fontId="6" fillId="0" borderId="139" applyAlignment="1" pivotButton="0" quotePrefix="0" xfId="0">
      <alignment horizontal="center" vertical="center" wrapText="1"/>
    </xf>
    <xf numFmtId="49" fontId="6" fillId="0" borderId="144" applyAlignment="1" pivotButton="0" quotePrefix="0" xfId="0">
      <alignment horizontal="justify" vertical="center" wrapText="1"/>
    </xf>
    <xf numFmtId="0" fontId="6" fillId="0" borderId="144" applyAlignment="1" pivotButton="0" quotePrefix="0" xfId="0">
      <alignment horizontal="justify" vertical="center" wrapText="1"/>
    </xf>
    <xf numFmtId="0" fontId="39" fillId="0" borderId="0" applyAlignment="1" pivotButton="0" quotePrefix="0" xfId="0">
      <alignment horizontal="justify" vertical="center"/>
    </xf>
    <xf numFmtId="0" fontId="87" fillId="0" borderId="0" applyAlignment="1" pivotButton="0" quotePrefix="0" xfId="2">
      <alignment vertical="center"/>
    </xf>
    <xf numFmtId="0" fontId="88" fillId="0" borderId="0" applyAlignment="1" pivotButton="0" quotePrefix="0" xfId="0">
      <alignment horizontal="right" vertical="center"/>
    </xf>
    <xf numFmtId="0" fontId="30" fillId="0" borderId="149" applyAlignment="1" pivotButton="0" quotePrefix="0" xfId="0">
      <alignment horizontal="center" vertical="center" wrapText="1"/>
    </xf>
    <xf numFmtId="0" fontId="30" fillId="0" borderId="132" applyAlignment="1" pivotButton="0" quotePrefix="0" xfId="0">
      <alignment horizontal="center" vertical="center" wrapText="1"/>
    </xf>
    <xf numFmtId="0" fontId="90" fillId="0" borderId="132" applyAlignment="1" pivotButton="0" quotePrefix="0" xfId="0">
      <alignment horizontal="center" vertical="center" wrapText="1"/>
    </xf>
    <xf numFmtId="0" fontId="30" fillId="0" borderId="131" applyAlignment="1" pivotButton="0" quotePrefix="0" xfId="0">
      <alignment horizontal="right" vertical="center" wrapText="1"/>
    </xf>
    <xf numFmtId="0" fontId="26" fillId="0" borderId="132" applyAlignment="1" pivotButton="0" quotePrefix="0" xfId="0">
      <alignment horizontal="center" vertical="center" wrapText="1"/>
    </xf>
    <xf numFmtId="0" fontId="5" fillId="2" borderId="0" applyAlignment="1" pivotButton="0" quotePrefix="0" xfId="0">
      <alignment vertical="center"/>
    </xf>
    <xf numFmtId="0" fontId="30" fillId="2" borderId="5" applyAlignment="1" pivotButton="0" quotePrefix="0" xfId="0">
      <alignment horizontal="center" vertical="center"/>
    </xf>
    <xf numFmtId="0" fontId="5" fillId="5" borderId="27" applyAlignment="1" pivotButton="0" quotePrefix="0" xfId="0">
      <alignment horizontal="center" vertical="center" wrapText="1"/>
    </xf>
    <xf numFmtId="0" fontId="30" fillId="0" borderId="0" applyAlignment="1" pivotButton="0" quotePrefix="0" xfId="0">
      <alignment horizontal="distributed" vertical="center"/>
    </xf>
    <xf numFmtId="0" fontId="5" fillId="0" borderId="150" applyAlignment="1" pivotButton="0" quotePrefix="0" xfId="0">
      <alignment horizontal="center" vertical="center"/>
    </xf>
    <xf numFmtId="0" fontId="5" fillId="0" borderId="0" applyAlignment="1" pivotButton="0" quotePrefix="0" xfId="0">
      <alignment vertical="top"/>
    </xf>
    <xf numFmtId="0" fontId="26" fillId="0" borderId="0" applyAlignment="1" pivotButton="0" quotePrefix="0" xfId="0">
      <alignment horizontal="left" vertical="center"/>
    </xf>
    <xf numFmtId="0" fontId="5" fillId="17" borderId="0" applyAlignment="1" pivotButton="0" quotePrefix="0" xfId="0">
      <alignment vertical="center"/>
    </xf>
    <xf numFmtId="0" fontId="26" fillId="17" borderId="0" applyAlignment="1" pivotButton="0" quotePrefix="0" xfId="0">
      <alignment vertical="center"/>
    </xf>
    <xf numFmtId="0" fontId="50" fillId="0" borderId="0" applyAlignment="1" pivotButton="0" quotePrefix="0" xfId="0">
      <alignment vertical="center"/>
    </xf>
    <xf numFmtId="0" fontId="5" fillId="3" borderId="0" applyAlignment="1" pivotButton="0" quotePrefix="0" xfId="0">
      <alignment vertical="center"/>
    </xf>
    <xf numFmtId="0" fontId="5" fillId="3" borderId="0" applyAlignment="1" pivotButton="0" quotePrefix="0" xfId="0">
      <alignment vertical="top" wrapText="1"/>
    </xf>
    <xf numFmtId="0" fontId="5" fillId="9" borderId="0" applyAlignment="1" pivotButton="0" quotePrefix="0" xfId="0">
      <alignment vertical="center" wrapText="1"/>
    </xf>
    <xf numFmtId="0" fontId="5" fillId="3" borderId="0" applyAlignment="1" pivotButton="0" quotePrefix="0" xfId="0">
      <alignment vertical="center" wrapText="1"/>
    </xf>
    <xf numFmtId="0" fontId="43" fillId="0" borderId="0" applyAlignment="1" pivotButton="0" quotePrefix="0" xfId="0">
      <alignment vertical="center" wrapText="1"/>
    </xf>
    <xf numFmtId="0" fontId="5" fillId="9" borderId="0" applyAlignment="1" pivotButton="0" quotePrefix="0" xfId="0">
      <alignment vertical="top" wrapText="1"/>
    </xf>
    <xf numFmtId="0" fontId="5" fillId="0" borderId="102" applyAlignment="1" pivotButton="0" quotePrefix="0" xfId="0">
      <alignment horizontal="center" vertical="center" wrapText="1"/>
    </xf>
    <xf numFmtId="0" fontId="5" fillId="0" borderId="104" applyAlignment="1" pivotButton="0" quotePrefix="0" xfId="0">
      <alignment horizontal="center" vertical="center" wrapText="1"/>
    </xf>
    <xf numFmtId="0" fontId="5" fillId="5" borderId="0" applyAlignment="1" pivotButton="0" quotePrefix="0" xfId="0">
      <alignment vertical="top" wrapText="1"/>
    </xf>
    <xf numFmtId="0" fontId="5" fillId="18" borderId="0" applyAlignment="1" pivotButton="0" quotePrefix="0" xfId="0">
      <alignment vertical="center"/>
    </xf>
    <xf numFmtId="0" fontId="5" fillId="18" borderId="0" applyAlignment="1" pivotButton="0" quotePrefix="0" xfId="0">
      <alignment horizontal="left" vertical="center"/>
    </xf>
    <xf numFmtId="0" fontId="5" fillId="18" borderId="0" applyAlignment="1" pivotButton="0" quotePrefix="0" xfId="0">
      <alignment vertical="center" wrapText="1"/>
    </xf>
    <xf numFmtId="0" fontId="6" fillId="19" borderId="0" applyAlignment="1" pivotButton="0" quotePrefix="0" xfId="0">
      <alignment vertical="center"/>
    </xf>
    <xf numFmtId="0" fontId="5" fillId="19" borderId="0" applyAlignment="1" pivotButton="0" quotePrefix="0" xfId="0">
      <alignment vertical="center"/>
    </xf>
    <xf numFmtId="0" fontId="5" fillId="19" borderId="0" applyAlignment="1" pivotButton="0" quotePrefix="0" xfId="0">
      <alignment vertical="center" wrapText="1"/>
    </xf>
    <xf numFmtId="0" fontId="43" fillId="19" borderId="0" applyAlignment="1" pivotButton="0" quotePrefix="0" xfId="0">
      <alignment vertical="center"/>
    </xf>
    <xf numFmtId="0" fontId="6" fillId="7" borderId="0" applyAlignment="1" pivotButton="0" quotePrefix="0" xfId="0">
      <alignment vertical="center"/>
    </xf>
    <xf numFmtId="0" fontId="5" fillId="7" borderId="0" applyAlignment="1" pivotButton="0" quotePrefix="0" xfId="0">
      <alignment horizontal="left" vertical="center" wrapText="1"/>
    </xf>
    <xf numFmtId="0" fontId="5" fillId="7" borderId="0" applyAlignment="1" pivotButton="0" quotePrefix="0" xfId="0">
      <alignment vertical="center"/>
    </xf>
    <xf numFmtId="0" fontId="5" fillId="7" borderId="0" applyAlignment="1" pivotButton="0" quotePrefix="0" xfId="0">
      <alignment vertical="center" wrapText="1"/>
    </xf>
    <xf numFmtId="0" fontId="53" fillId="0" borderId="20" applyAlignment="1" pivotButton="0" quotePrefix="0" xfId="0">
      <alignment vertical="center"/>
    </xf>
    <xf numFmtId="0" fontId="69" fillId="0" borderId="0" applyAlignment="1" pivotButton="0" quotePrefix="0" xfId="0">
      <alignment vertical="center"/>
    </xf>
    <xf numFmtId="0" fontId="5" fillId="0" borderId="26" applyAlignment="1" pivotButton="0" quotePrefix="0" xfId="0">
      <alignment vertical="center"/>
    </xf>
    <xf numFmtId="0" fontId="5" fillId="0" borderId="18" applyAlignment="1" pivotButton="0" quotePrefix="0" xfId="0">
      <alignment vertical="center"/>
    </xf>
    <xf numFmtId="0" fontId="6" fillId="0" borderId="27" applyAlignment="1" pivotButton="0" quotePrefix="0" xfId="0">
      <alignment vertical="center"/>
    </xf>
    <xf numFmtId="0" fontId="69" fillId="0" borderId="16" applyAlignment="1" pivotButton="0" quotePrefix="0" xfId="0">
      <alignment vertical="center"/>
    </xf>
    <xf numFmtId="0" fontId="43" fillId="0" borderId="20" applyAlignment="1" pivotButton="0" quotePrefix="0" xfId="0">
      <alignment vertical="center"/>
    </xf>
    <xf numFmtId="0" fontId="43" fillId="0" borderId="13" applyAlignment="1" pivotButton="0" quotePrefix="0" xfId="0">
      <alignment vertical="center"/>
    </xf>
    <xf numFmtId="0" fontId="5" fillId="0" borderId="151" applyAlignment="1" pivotButton="0" quotePrefix="0" xfId="0">
      <alignment vertical="center"/>
    </xf>
    <xf numFmtId="0" fontId="5" fillId="0" borderId="152" applyAlignment="1" pivotButton="0" quotePrefix="0" xfId="0">
      <alignment vertical="center"/>
    </xf>
    <xf numFmtId="0" fontId="53" fillId="0" borderId="153" applyAlignment="1" pivotButton="0" quotePrefix="0" xfId="0">
      <alignment vertical="center"/>
    </xf>
    <xf numFmtId="0" fontId="5" fillId="0" borderId="154" applyAlignment="1" pivotButton="0" quotePrefix="0" xfId="0">
      <alignment vertical="center"/>
    </xf>
    <xf numFmtId="0" fontId="53" fillId="0" borderId="155" applyAlignment="1" pivotButton="0" quotePrefix="0" xfId="0">
      <alignment vertical="center"/>
    </xf>
    <xf numFmtId="0" fontId="5" fillId="0" borderId="156" applyAlignment="1" pivotButton="0" quotePrefix="0" xfId="0">
      <alignment vertical="center"/>
    </xf>
    <xf numFmtId="0" fontId="5" fillId="0" borderId="157" applyAlignment="1" pivotButton="0" quotePrefix="0" xfId="0">
      <alignment vertical="center"/>
    </xf>
    <xf numFmtId="0" fontId="5" fillId="0" borderId="159" applyAlignment="1" pivotButton="0" quotePrefix="0" xfId="0">
      <alignment vertical="center"/>
    </xf>
    <xf numFmtId="0" fontId="5" fillId="0" borderId="160" applyAlignment="1" pivotButton="0" quotePrefix="0" xfId="0">
      <alignment vertical="center"/>
    </xf>
    <xf numFmtId="0" fontId="5" fillId="0" borderId="161" applyAlignment="1" pivotButton="0" quotePrefix="0" xfId="0">
      <alignment vertical="center"/>
    </xf>
    <xf numFmtId="0" fontId="5" fillId="0" borderId="162" applyAlignment="1" pivotButton="0" quotePrefix="0" xfId="0">
      <alignment vertical="center"/>
    </xf>
    <xf numFmtId="0" fontId="53" fillId="0" borderId="89" applyAlignment="1" pivotButton="0" quotePrefix="0" xfId="0">
      <alignment vertical="center"/>
    </xf>
    <xf numFmtId="0" fontId="5" fillId="0" borderId="58" applyAlignment="1" pivotButton="0" quotePrefix="0" xfId="0">
      <alignment vertical="center"/>
    </xf>
    <xf numFmtId="0" fontId="6" fillId="0" borderId="89" applyAlignment="1" pivotButton="0" quotePrefix="0" xfId="0">
      <alignment vertical="center"/>
    </xf>
    <xf numFmtId="0" fontId="5" fillId="0" borderId="163" applyAlignment="1" pivotButton="0" quotePrefix="0" xfId="0">
      <alignment vertical="center"/>
    </xf>
    <xf numFmtId="0" fontId="6" fillId="0" borderId="164" applyAlignment="1" pivotButton="0" quotePrefix="0" xfId="0">
      <alignment vertical="center"/>
    </xf>
    <xf numFmtId="0" fontId="5" fillId="0" borderId="164" applyAlignment="1" pivotButton="0" quotePrefix="0" xfId="0">
      <alignment vertical="center"/>
    </xf>
    <xf numFmtId="0" fontId="5" fillId="0" borderId="165" applyAlignment="1" pivotButton="0" quotePrefix="0" xfId="0">
      <alignment vertical="center"/>
    </xf>
    <xf numFmtId="0" fontId="5" fillId="0" borderId="166" applyAlignment="1" pivotButton="0" quotePrefix="0" xfId="0">
      <alignment vertical="center"/>
    </xf>
    <xf numFmtId="0" fontId="5" fillId="0" borderId="167" applyAlignment="1" pivotButton="0" quotePrefix="0" xfId="0">
      <alignment vertical="center"/>
    </xf>
    <xf numFmtId="0" fontId="5" fillId="0" borderId="46" applyAlignment="1" pivotButton="0" quotePrefix="0" xfId="0">
      <alignment vertical="center"/>
    </xf>
    <xf numFmtId="0" fontId="5" fillId="0" borderId="168" applyAlignment="1" pivotButton="0" quotePrefix="0" xfId="0">
      <alignment vertical="center"/>
    </xf>
    <xf numFmtId="0" fontId="5" fillId="0" borderId="158" applyAlignment="1" pivotButton="0" quotePrefix="0" xfId="0">
      <alignment vertical="center"/>
    </xf>
    <xf numFmtId="0" fontId="6" fillId="0" borderId="16" applyAlignment="1" pivotButton="0" quotePrefix="0" xfId="0">
      <alignment vertical="center"/>
    </xf>
    <xf numFmtId="0" fontId="5" fillId="0" borderId="169" applyAlignment="1" pivotButton="0" quotePrefix="0" xfId="0">
      <alignment vertical="center"/>
    </xf>
    <xf numFmtId="0" fontId="6" fillId="0" borderId="170" applyAlignment="1" pivotButton="0" quotePrefix="0" xfId="0">
      <alignment vertical="center"/>
    </xf>
    <xf numFmtId="0" fontId="5" fillId="0" borderId="171" applyAlignment="1" pivotButton="0" quotePrefix="0" xfId="0">
      <alignment vertical="center"/>
    </xf>
    <xf numFmtId="0" fontId="6" fillId="0" borderId="171" applyAlignment="1" pivotButton="0" quotePrefix="0" xfId="0">
      <alignment vertical="center" wrapText="1"/>
    </xf>
    <xf numFmtId="0" fontId="95" fillId="0" borderId="27" applyAlignment="1" pivotButton="0" quotePrefix="0" xfId="0">
      <alignment vertical="center"/>
    </xf>
    <xf numFmtId="0" fontId="95" fillId="0" borderId="0" applyAlignment="1" pivotButton="0" quotePrefix="0" xfId="0">
      <alignment vertical="center"/>
    </xf>
    <xf numFmtId="0" fontId="94" fillId="0" borderId="27" applyAlignment="1" pivotButton="0" quotePrefix="0" xfId="0">
      <alignment vertical="center"/>
    </xf>
    <xf numFmtId="0" fontId="94" fillId="0" borderId="0" applyAlignment="1" pivotButton="0" quotePrefix="0" xfId="0">
      <alignment vertical="center"/>
    </xf>
    <xf numFmtId="0" fontId="6" fillId="0" borderId="26" applyAlignment="1" pivotButton="0" quotePrefix="0" xfId="0">
      <alignment vertical="top"/>
    </xf>
    <xf numFmtId="0" fontId="5" fillId="0" borderId="19" applyAlignment="1" pivotButton="0" quotePrefix="0" xfId="0">
      <alignment vertical="top"/>
    </xf>
    <xf numFmtId="0" fontId="5" fillId="0" borderId="18" applyAlignment="1" pivotButton="0" quotePrefix="0" xfId="0">
      <alignment vertical="top"/>
    </xf>
    <xf numFmtId="0" fontId="5" fillId="0" borderId="16" applyAlignment="1" pivotButton="0" quotePrefix="0" xfId="0">
      <alignment vertical="top"/>
    </xf>
    <xf numFmtId="0" fontId="6" fillId="0" borderId="27" applyAlignment="1" pivotButton="0" quotePrefix="0" xfId="0">
      <alignment vertical="top"/>
    </xf>
    <xf numFmtId="0" fontId="6" fillId="0" borderId="0" applyAlignment="1" pivotButton="0" quotePrefix="0" xfId="0">
      <alignment vertical="top"/>
    </xf>
    <xf numFmtId="0" fontId="94" fillId="0" borderId="20" applyAlignment="1" pivotButton="0" quotePrefix="0" xfId="0">
      <alignment vertical="center"/>
    </xf>
    <xf numFmtId="0" fontId="5" fillId="0" borderId="177" applyAlignment="1" pivotButton="0" quotePrefix="0" xfId="0">
      <alignment vertical="center"/>
    </xf>
    <xf numFmtId="0" fontId="6" fillId="0" borderId="180" applyAlignment="1" pivotButton="0" quotePrefix="0" xfId="0">
      <alignment vertical="center"/>
    </xf>
    <xf numFmtId="0" fontId="5" fillId="0" borderId="181" applyAlignment="1" pivotButton="0" quotePrefix="0" xfId="0">
      <alignment vertical="center"/>
    </xf>
    <xf numFmtId="0" fontId="6" fillId="3" borderId="5" applyAlignment="1" pivotButton="0" quotePrefix="0" xfId="0">
      <alignment vertical="center"/>
    </xf>
    <xf numFmtId="0" fontId="84" fillId="0" borderId="14" applyAlignment="1" pivotButton="0" quotePrefix="0" xfId="0">
      <alignment vertical="center" wrapText="1"/>
    </xf>
    <xf numFmtId="0" fontId="96" fillId="0" borderId="5" applyAlignment="1" pivotButton="0" quotePrefix="0" xfId="0">
      <alignment vertical="center"/>
    </xf>
    <xf numFmtId="0" fontId="98" fillId="0" borderId="5" applyAlignment="1" pivotButton="0" quotePrefix="0" xfId="0">
      <alignment vertical="center" wrapText="1"/>
    </xf>
    <xf numFmtId="0" fontId="5" fillId="10" borderId="5" applyAlignment="1" pivotButton="0" quotePrefix="0" xfId="0">
      <alignment horizontal="left" vertical="center" wrapText="1"/>
    </xf>
    <xf numFmtId="0" fontId="5" fillId="10" borderId="5" applyAlignment="1" pivotButton="0" quotePrefix="0" xfId="0">
      <alignment vertical="center"/>
    </xf>
    <xf numFmtId="0" fontId="5" fillId="10" borderId="5" applyAlignment="1" pivotButton="0" quotePrefix="0" xfId="0">
      <alignment vertical="center" wrapText="1"/>
    </xf>
    <xf numFmtId="0" fontId="5" fillId="0" borderId="183" applyAlignment="1" pivotButton="0" quotePrefix="0" xfId="0">
      <alignment vertical="center"/>
    </xf>
    <xf numFmtId="0" fontId="5" fillId="0" borderId="184" applyAlignment="1" pivotButton="0" quotePrefix="0" xfId="0">
      <alignment vertical="center"/>
    </xf>
    <xf numFmtId="0" fontId="4" fillId="0" borderId="0" applyAlignment="1" pivotButton="0" quotePrefix="0" xfId="0">
      <alignment vertical="center"/>
    </xf>
    <xf numFmtId="0" fontId="34" fillId="0" borderId="0" applyAlignment="1" pivotButton="0" quotePrefix="0" xfId="0">
      <alignment vertical="center"/>
    </xf>
    <xf numFmtId="0" fontId="75" fillId="0" borderId="0" applyAlignment="1" pivotButton="0" quotePrefix="0" xfId="0">
      <alignment vertical="center"/>
    </xf>
    <xf numFmtId="0" fontId="30" fillId="0" borderId="0" applyAlignment="1" pivotButton="0" quotePrefix="0" xfId="0">
      <alignment vertical="center" wrapText="1"/>
    </xf>
    <xf numFmtId="0" fontId="30" fillId="0" borderId="0" applyAlignment="1" pivotButton="0" quotePrefix="0" xfId="0">
      <alignment horizontal="justify" vertical="center"/>
    </xf>
    <xf numFmtId="0" fontId="17" fillId="0" borderId="0" applyAlignment="1" applyProtection="1" pivotButton="0" quotePrefix="0" xfId="0">
      <alignment horizontal="center" vertical="center"/>
      <protection locked="1" hidden="1"/>
    </xf>
    <xf numFmtId="0" fontId="17" fillId="0" borderId="0" applyAlignment="1" applyProtection="1" pivotButton="0" quotePrefix="0" xfId="0">
      <alignment vertical="distributed"/>
      <protection locked="1" hidden="1"/>
    </xf>
    <xf numFmtId="0" fontId="34" fillId="8" borderId="0" applyAlignment="1" pivotButton="0" quotePrefix="0" xfId="0">
      <alignment horizontal="center" vertical="center" wrapText="1"/>
    </xf>
    <xf numFmtId="0" fontId="34" fillId="0" borderId="0" applyAlignment="1" pivotButton="0" quotePrefix="0" xfId="0">
      <alignment horizontal="center" vertical="center" wrapText="1"/>
    </xf>
    <xf numFmtId="0" fontId="6" fillId="3" borderId="0" applyAlignment="1" pivotButton="0" quotePrefix="0" xfId="0">
      <alignment vertical="center"/>
    </xf>
    <xf numFmtId="0" fontId="6" fillId="18" borderId="0" applyAlignment="1" pivotButton="0" quotePrefix="0" xfId="0">
      <alignment vertical="center"/>
    </xf>
    <xf numFmtId="0" fontId="6" fillId="0" borderId="11" applyAlignment="1" pivotButton="0" quotePrefix="0" xfId="0">
      <alignment horizontal="center" vertical="center"/>
    </xf>
    <xf numFmtId="49" fontId="6" fillId="0" borderId="11" applyAlignment="1" pivotButton="0" quotePrefix="0" xfId="0">
      <alignment horizontal="center" vertical="center" wrapText="1"/>
    </xf>
    <xf numFmtId="0" fontId="26" fillId="0" borderId="0" applyAlignment="1" pivotButton="0" quotePrefix="0" xfId="0">
      <alignment vertical="center" wrapText="1"/>
    </xf>
    <xf numFmtId="0" fontId="72" fillId="0" borderId="0" applyAlignment="1" pivotButton="0" quotePrefix="0" xfId="0">
      <alignment vertical="center" wrapText="1"/>
    </xf>
    <xf numFmtId="0" fontId="0" fillId="0" borderId="5" applyAlignment="1" pivotButton="0" quotePrefix="0" xfId="0">
      <alignment vertical="center" wrapText="1"/>
    </xf>
    <xf numFmtId="0" fontId="6" fillId="0" borderId="13" applyAlignment="1" pivotButton="0" quotePrefix="0" xfId="0">
      <alignment horizontal="center" vertical="center"/>
    </xf>
    <xf numFmtId="0" fontId="6" fillId="0" borderId="8" applyAlignment="1" pivotButton="0" quotePrefix="0" xfId="0">
      <alignment horizontal="center" vertical="center"/>
    </xf>
    <xf numFmtId="0" fontId="6" fillId="3" borderId="13" applyAlignment="1" pivotButton="0" quotePrefix="0" xfId="0">
      <alignment horizontal="center" vertical="center"/>
    </xf>
    <xf numFmtId="0" fontId="6" fillId="0" borderId="19" applyAlignment="1" pivotButton="0" quotePrefix="0" xfId="0">
      <alignment horizontal="center" vertical="center"/>
    </xf>
    <xf numFmtId="0" fontId="53" fillId="20" borderId="5" applyAlignment="1" pivotButton="0" quotePrefix="0" xfId="0">
      <alignment horizontal="center" vertical="center"/>
    </xf>
    <xf numFmtId="0" fontId="6" fillId="20" borderId="5" applyAlignment="1" pivotButton="0" quotePrefix="0" xfId="0">
      <alignment horizontal="center" vertical="center"/>
    </xf>
    <xf numFmtId="0" fontId="6" fillId="20" borderId="5" applyAlignment="1" pivotButton="0" quotePrefix="0" xfId="0">
      <alignment horizontal="center" vertical="center" wrapText="1"/>
    </xf>
    <xf numFmtId="0" fontId="53" fillId="20" borderId="8" applyAlignment="1" pivotButton="0" quotePrefix="0" xfId="0">
      <alignment horizontal="center" vertical="center"/>
    </xf>
    <xf numFmtId="0" fontId="6" fillId="20" borderId="8" applyAlignment="1" pivotButton="0" quotePrefix="0" xfId="0">
      <alignment horizontal="center" vertical="center"/>
    </xf>
    <xf numFmtId="0" fontId="5" fillId="0" borderId="62" applyAlignment="1" pivotButton="0" quotePrefix="0" xfId="0">
      <alignment vertical="center"/>
    </xf>
    <xf numFmtId="0" fontId="30" fillId="0" borderId="0" applyAlignment="1" pivotButton="0" quotePrefix="0" xfId="0">
      <alignment vertical="top"/>
    </xf>
    <xf numFmtId="0" fontId="6" fillId="0" borderId="11" applyAlignment="1" pivotButton="0" quotePrefix="0" xfId="0">
      <alignment horizontal="center" vertical="center" wrapText="1"/>
    </xf>
    <xf numFmtId="0" fontId="102" fillId="13" borderId="16" applyAlignment="1" pivotButton="0" quotePrefix="0" xfId="0">
      <alignment vertical="center" wrapText="1"/>
    </xf>
    <xf numFmtId="0" fontId="66" fillId="13" borderId="0" applyAlignment="1" pivotButton="0" quotePrefix="0" xfId="0">
      <alignment horizontal="right" vertical="center" wrapText="1"/>
    </xf>
    <xf numFmtId="0" fontId="58" fillId="13" borderId="0" applyAlignment="1" pivotButton="0" quotePrefix="0" xfId="0">
      <alignment vertical="center" wrapText="1"/>
    </xf>
    <xf numFmtId="0" fontId="5" fillId="0" borderId="58" applyAlignment="1" pivotButton="0" quotePrefix="0" xfId="0">
      <alignment horizontal="center" vertical="center"/>
    </xf>
    <xf numFmtId="0" fontId="5" fillId="0" borderId="82" applyAlignment="1" pivotButton="0" quotePrefix="0" xfId="0">
      <alignment vertical="center"/>
    </xf>
    <xf numFmtId="0" fontId="5" fillId="0" borderId="82" applyAlignment="1" pivotButton="0" quotePrefix="0" xfId="0">
      <alignment vertical="center" wrapText="1"/>
    </xf>
    <xf numFmtId="0" fontId="6" fillId="0" borderId="82" applyAlignment="1" pivotButton="0" quotePrefix="0" xfId="0">
      <alignment vertical="center" wrapText="1"/>
    </xf>
    <xf numFmtId="0" fontId="6" fillId="0" borderId="81" applyAlignment="1" pivotButton="0" quotePrefix="0" xfId="0">
      <alignment vertical="center" wrapText="1"/>
    </xf>
    <xf numFmtId="0" fontId="6" fillId="0" borderId="74" applyAlignment="1" pivotButton="0" quotePrefix="0" xfId="0">
      <alignment horizontal="left" vertical="center"/>
    </xf>
    <xf numFmtId="0" fontId="92" fillId="0" borderId="0" applyAlignment="1" pivotButton="0" quotePrefix="0" xfId="0">
      <alignment vertical="center"/>
    </xf>
    <xf numFmtId="0" fontId="34" fillId="3" borderId="29" applyAlignment="1" pivotButton="0" quotePrefix="0" xfId="0">
      <alignment horizontal="center" vertical="center" wrapText="1"/>
    </xf>
    <xf numFmtId="49" fontId="0" fillId="0" borderId="8" applyAlignment="1" pivotButton="0" quotePrefix="0" xfId="0">
      <alignment vertical="center" wrapText="1"/>
    </xf>
    <xf numFmtId="49" fontId="0" fillId="0" borderId="10" applyAlignment="1" pivotButton="0" quotePrefix="0" xfId="0">
      <alignment vertical="center" wrapText="1"/>
    </xf>
    <xf numFmtId="0" fontId="2" fillId="0" borderId="9" applyAlignment="1" pivotButton="0" quotePrefix="0" xfId="0">
      <alignment vertical="center"/>
    </xf>
    <xf numFmtId="0" fontId="2" fillId="0" borderId="8" applyAlignment="1" pivotButton="0" quotePrefix="0" xfId="0">
      <alignment vertical="center"/>
    </xf>
    <xf numFmtId="0" fontId="5" fillId="0" borderId="8" applyAlignment="1" pivotButton="0" quotePrefix="0" xfId="0">
      <alignment vertical="center"/>
    </xf>
    <xf numFmtId="0" fontId="5" fillId="0" borderId="20" applyAlignment="1" pivotButton="0" quotePrefix="0" xfId="0">
      <alignment vertical="center"/>
    </xf>
    <xf numFmtId="0" fontId="6" fillId="0" borderId="89" applyAlignment="1" pivotButton="0" quotePrefix="0" xfId="0">
      <alignment horizontal="left" vertical="center"/>
    </xf>
    <xf numFmtId="0" fontId="30" fillId="0" borderId="61" applyAlignment="1" pivotButton="0" quotePrefix="0" xfId="0">
      <alignment horizontal="center" vertical="center"/>
    </xf>
    <xf numFmtId="0" fontId="30" fillId="0" borderId="61" applyAlignment="1" pivotButton="0" quotePrefix="0" xfId="0">
      <alignment horizontal="center" vertical="distributed" textRotation="255" wrapText="1"/>
    </xf>
    <xf numFmtId="0" fontId="30" fillId="0" borderId="190" applyAlignment="1" pivotButton="0" quotePrefix="0" xfId="0">
      <alignment horizontal="distributed" vertical="center" wrapText="1"/>
    </xf>
    <xf numFmtId="0" fontId="5" fillId="0" borderId="60" applyAlignment="1" pivotButton="0" quotePrefix="0" xfId="0">
      <alignment vertical="center"/>
    </xf>
    <xf numFmtId="0" fontId="30" fillId="0" borderId="61" applyAlignment="1" pivotButton="0" quotePrefix="0" xfId="0">
      <alignment horizontal="distributed" vertical="center"/>
    </xf>
    <xf numFmtId="0" fontId="30" fillId="0" borderId="191" applyAlignment="1" pivotButton="0" quotePrefix="0" xfId="0">
      <alignment horizontal="distributed" vertical="center" wrapText="1"/>
    </xf>
    <xf numFmtId="0" fontId="37" fillId="0" borderId="191" applyAlignment="1" pivotButton="0" quotePrefix="0" xfId="0">
      <alignment vertical="center" wrapText="1"/>
    </xf>
    <xf numFmtId="0" fontId="5" fillId="0" borderId="65" applyAlignment="1" pivotButton="0" quotePrefix="0" xfId="0">
      <alignment vertical="center"/>
    </xf>
    <xf numFmtId="0" fontId="30" fillId="0" borderId="68" applyAlignment="1" pivotButton="0" quotePrefix="0" xfId="0">
      <alignment horizontal="distributed" vertical="center" wrapText="1"/>
    </xf>
    <xf numFmtId="0" fontId="5" fillId="0" borderId="110" applyAlignment="1" pivotButton="0" quotePrefix="0" xfId="0">
      <alignment vertical="center"/>
    </xf>
    <xf numFmtId="0" fontId="5" fillId="0" borderId="108" applyAlignment="1" pivotButton="0" quotePrefix="0" xfId="0">
      <alignment vertical="center"/>
    </xf>
    <xf numFmtId="0" fontId="5" fillId="0" borderId="192" applyAlignment="1" pivotButton="0" quotePrefix="0" xfId="0">
      <alignment vertical="center"/>
    </xf>
    <xf numFmtId="0" fontId="31" fillId="0" borderId="26" applyAlignment="1" pivotButton="0" quotePrefix="0" xfId="0">
      <alignment vertical="top"/>
    </xf>
    <xf numFmtId="0" fontId="31" fillId="0" borderId="19" applyAlignment="1" pivotButton="0" quotePrefix="0" xfId="0">
      <alignment vertical="top" wrapText="1"/>
    </xf>
    <xf numFmtId="0" fontId="31" fillId="0" borderId="0" applyAlignment="1" pivotButton="0" quotePrefix="0" xfId="0">
      <alignment vertical="top"/>
    </xf>
    <xf numFmtId="0" fontId="31" fillId="0" borderId="0" applyAlignment="1" pivotButton="0" quotePrefix="0" xfId="0">
      <alignment vertical="center"/>
    </xf>
    <xf numFmtId="0" fontId="68" fillId="0" borderId="0" applyAlignment="1" pivotButton="0" quotePrefix="0" xfId="0">
      <alignment vertical="center"/>
    </xf>
    <xf numFmtId="0" fontId="31" fillId="0" borderId="50" applyAlignment="1" pivotButton="0" quotePrefix="0" xfId="0">
      <alignment vertical="center"/>
    </xf>
    <xf numFmtId="0" fontId="31" fillId="0" borderId="27" applyAlignment="1" pivotButton="0" quotePrefix="0" xfId="0">
      <alignment vertical="top"/>
    </xf>
    <xf numFmtId="0" fontId="31" fillId="0" borderId="0" applyAlignment="1" pivotButton="0" quotePrefix="0" xfId="0">
      <alignment horizontal="left" vertical="top"/>
    </xf>
    <xf numFmtId="0" fontId="31" fillId="0" borderId="13" applyAlignment="1" pivotButton="0" quotePrefix="0" xfId="0">
      <alignment vertical="center"/>
    </xf>
    <xf numFmtId="0" fontId="27" fillId="0" borderId="67" applyAlignment="1" pivotButton="0" quotePrefix="0" xfId="0">
      <alignment vertical="center"/>
    </xf>
    <xf numFmtId="0" fontId="27" fillId="0" borderId="19" applyAlignment="1" pivotButton="0" quotePrefix="0" xfId="0">
      <alignment vertical="center"/>
    </xf>
    <xf numFmtId="0" fontId="27" fillId="0" borderId="28" applyAlignment="1" pivotButton="0" quotePrefix="0" xfId="0">
      <alignment vertical="center"/>
    </xf>
    <xf numFmtId="0" fontId="5" fillId="0" borderId="76" applyAlignment="1" pivotButton="0" quotePrefix="0" xfId="0">
      <alignment vertical="center"/>
    </xf>
    <xf numFmtId="0" fontId="6" fillId="20" borderId="5" applyAlignment="1" pivotButton="0" quotePrefix="0" xfId="0">
      <alignment vertical="center" wrapText="1"/>
    </xf>
    <xf numFmtId="0" fontId="6" fillId="0" borderId="11" applyAlignment="1" pivotButton="0" quotePrefix="0" xfId="0">
      <alignment vertical="center" wrapText="1"/>
    </xf>
    <xf numFmtId="0" fontId="5" fillId="21" borderId="19" applyAlignment="1" pivotButton="0" quotePrefix="0" xfId="0">
      <alignment horizontal="center" vertical="center"/>
    </xf>
    <xf numFmtId="0" fontId="30" fillId="10" borderId="5" applyAlignment="1" pivotButton="0" quotePrefix="0" xfId="0">
      <alignment horizontal="center" vertical="center"/>
    </xf>
    <xf numFmtId="0" fontId="58" fillId="0" borderId="0" applyAlignment="1" pivotButton="0" quotePrefix="0" xfId="0">
      <alignment vertical="center"/>
    </xf>
    <xf numFmtId="0" fontId="65" fillId="0" borderId="26" applyAlignment="1" pivotButton="0" quotePrefix="0" xfId="0">
      <alignment vertical="center" wrapText="1"/>
    </xf>
    <xf numFmtId="0" fontId="65" fillId="0" borderId="62" applyAlignment="1" pivotButton="0" quotePrefix="0" xfId="0">
      <alignment vertical="center" wrapText="1"/>
    </xf>
    <xf numFmtId="0" fontId="65" fillId="0" borderId="27" applyAlignment="1" pivotButton="0" quotePrefix="0" xfId="0">
      <alignment vertical="center" wrapText="1"/>
    </xf>
    <xf numFmtId="0" fontId="65" fillId="0" borderId="50" applyAlignment="1" pivotButton="0" quotePrefix="0" xfId="0">
      <alignment vertical="center" wrapText="1"/>
    </xf>
    <xf numFmtId="0" fontId="106" fillId="5" borderId="13" applyAlignment="1" pivotButton="0" quotePrefix="0" xfId="0">
      <alignment vertical="center"/>
    </xf>
    <xf numFmtId="0" fontId="6" fillId="3" borderId="0" applyAlignment="1" pivotButton="0" quotePrefix="0" xfId="0">
      <alignment vertical="center" wrapText="1"/>
    </xf>
    <xf numFmtId="0" fontId="6" fillId="18" borderId="0" applyAlignment="1" pivotButton="0" quotePrefix="0" xfId="0">
      <alignment vertical="center" wrapText="1"/>
    </xf>
    <xf numFmtId="0" fontId="5" fillId="18" borderId="0" applyAlignment="1" pivotButton="0" quotePrefix="0" xfId="0">
      <alignment horizontal="left" vertical="center" wrapText="1"/>
    </xf>
    <xf numFmtId="0" fontId="103" fillId="0" borderId="0" applyAlignment="1" pivotButton="0" quotePrefix="0" xfId="0">
      <alignment vertical="center" wrapText="1"/>
    </xf>
    <xf numFmtId="0" fontId="45" fillId="0" borderId="0" applyAlignment="1" pivotButton="0" quotePrefix="0" xfId="0">
      <alignment vertical="center"/>
    </xf>
    <xf numFmtId="0" fontId="43" fillId="2" borderId="0" applyAlignment="1" pivotButton="0" quotePrefix="0" xfId="0">
      <alignment vertical="center"/>
    </xf>
    <xf numFmtId="0" fontId="5" fillId="6" borderId="0" applyAlignment="1" pivotButton="0" quotePrefix="0" xfId="0">
      <alignment vertical="center"/>
    </xf>
    <xf numFmtId="0" fontId="53" fillId="5" borderId="0" applyAlignment="1" pivotButton="0" quotePrefix="0" xfId="0">
      <alignment horizontal="center" vertical="center"/>
    </xf>
    <xf numFmtId="0" fontId="104" fillId="5" borderId="0" applyAlignment="1" pivotButton="0" quotePrefix="0" xfId="0">
      <alignment horizontal="center" vertical="center"/>
    </xf>
    <xf numFmtId="0" fontId="43" fillId="0" borderId="0" applyAlignment="1" pivotButton="0" quotePrefix="0" xfId="0">
      <alignment vertical="top" wrapText="1"/>
    </xf>
    <xf numFmtId="0" fontId="6" fillId="0" borderId="60" applyAlignment="1" applyProtection="1" pivotButton="0" quotePrefix="0" xfId="0">
      <alignment horizontal="center" vertical="center" wrapText="1"/>
      <protection locked="1" hidden="1"/>
    </xf>
    <xf numFmtId="0" fontId="60" fillId="0" borderId="48" applyAlignment="1" applyProtection="1" pivotButton="0" quotePrefix="0" xfId="0">
      <alignment horizontal="center" vertical="center" wrapText="1"/>
      <protection locked="1" hidden="1"/>
    </xf>
    <xf numFmtId="0" fontId="58" fillId="5" borderId="27" applyAlignment="1" pivotButton="0" quotePrefix="0" xfId="0">
      <alignment vertical="center" wrapText="1"/>
    </xf>
    <xf numFmtId="0" fontId="58" fillId="5" borderId="0" applyAlignment="1" pivotButton="0" quotePrefix="0" xfId="0">
      <alignment vertical="center" wrapText="1"/>
    </xf>
    <xf numFmtId="0" fontId="58" fillId="5" borderId="9" applyAlignment="1" pivotButton="0" quotePrefix="0" xfId="0">
      <alignment horizontal="distributed" vertical="center"/>
    </xf>
    <xf numFmtId="0" fontId="5" fillId="5" borderId="19" applyAlignment="1" pivotButton="0" quotePrefix="0" xfId="0">
      <alignment horizontal="left" vertical="center" wrapText="1"/>
    </xf>
    <xf numFmtId="0" fontId="58" fillId="5" borderId="13" applyAlignment="1" pivotButton="0" quotePrefix="0" xfId="0">
      <alignment vertical="center"/>
    </xf>
    <xf numFmtId="0" fontId="31" fillId="5" borderId="13" applyAlignment="1" pivotButton="0" quotePrefix="0" xfId="0">
      <alignment vertical="center"/>
    </xf>
    <xf numFmtId="0" fontId="6" fillId="0" borderId="45" applyAlignment="1" pivotButton="0" quotePrefix="0" xfId="0">
      <alignment vertical="center"/>
    </xf>
    <xf numFmtId="0" fontId="30" fillId="0" borderId="43" applyAlignment="1" pivotButton="0" quotePrefix="0" xfId="0">
      <alignment vertical="center"/>
    </xf>
    <xf numFmtId="0" fontId="5" fillId="0" borderId="37" applyAlignment="1" pivotButton="0" quotePrefix="0" xfId="0">
      <alignment vertical="top" wrapText="1"/>
    </xf>
    <xf numFmtId="0" fontId="5" fillId="0" borderId="27" applyAlignment="1" pivotButton="0" quotePrefix="0" xfId="0">
      <alignment vertical="top" wrapText="1"/>
    </xf>
    <xf numFmtId="0" fontId="5" fillId="0" borderId="27" applyAlignment="1" pivotButton="0" quotePrefix="0" xfId="0">
      <alignment vertical="center" wrapText="1"/>
    </xf>
    <xf numFmtId="0" fontId="5" fillId="5" borderId="0" applyAlignment="1" pivotButton="0" quotePrefix="0" xfId="0">
      <alignment horizontal="center" vertical="center" wrapText="1"/>
    </xf>
    <xf numFmtId="0" fontId="6" fillId="3" borderId="9" applyAlignment="1" pivotButton="0" quotePrefix="0" xfId="0">
      <alignment horizontal="center" vertical="center"/>
    </xf>
    <xf numFmtId="0" fontId="5" fillId="4" borderId="10" applyAlignment="1" pivotButton="0" quotePrefix="0" xfId="0">
      <alignment horizontal="center" vertical="center"/>
    </xf>
    <xf numFmtId="0" fontId="5" fillId="2" borderId="10" applyAlignment="1" pivotButton="0" quotePrefix="0" xfId="0">
      <alignment horizontal="center" vertical="center"/>
    </xf>
    <xf numFmtId="0" fontId="6" fillId="0" borderId="16" applyAlignment="1" pivotButton="0" quotePrefix="0" xfId="0">
      <alignment horizontal="center" vertical="center"/>
    </xf>
    <xf numFmtId="0" fontId="25" fillId="0" borderId="0" applyAlignment="1" pivotButton="0" quotePrefix="0" xfId="0">
      <alignment vertical="center"/>
    </xf>
    <xf numFmtId="0" fontId="110" fillId="0" borderId="122" applyAlignment="1" pivotButton="0" quotePrefix="0" xfId="0">
      <alignment vertical="center" wrapText="1"/>
    </xf>
    <xf numFmtId="0" fontId="110" fillId="0" borderId="0" applyAlignment="1" pivotButton="0" quotePrefix="0" xfId="0">
      <alignment vertical="center" wrapText="1"/>
    </xf>
    <xf numFmtId="0" fontId="111" fillId="0" borderId="122" applyAlignment="1" pivotButton="0" quotePrefix="0" xfId="0">
      <alignment vertical="center" wrapText="1"/>
    </xf>
    <xf numFmtId="0" fontId="55" fillId="0" borderId="0" applyAlignment="1" pivotButton="0" quotePrefix="0" xfId="0">
      <alignment vertical="center"/>
    </xf>
    <xf numFmtId="0" fontId="55" fillId="0" borderId="16" applyAlignment="1" pivotButton="0" quotePrefix="0" xfId="0">
      <alignment vertical="center"/>
    </xf>
    <xf numFmtId="0" fontId="55" fillId="0" borderId="13" applyAlignment="1" pivotButton="0" quotePrefix="0" xfId="0">
      <alignment vertical="center"/>
    </xf>
    <xf numFmtId="0" fontId="55" fillId="0" borderId="14" applyAlignment="1" pivotButton="0" quotePrefix="0" xfId="0">
      <alignment vertical="center"/>
    </xf>
    <xf numFmtId="0" fontId="6" fillId="20" borderId="5" applyAlignment="1" pivotButton="0" quotePrefix="0" xfId="0">
      <alignment horizontal="left" vertical="center" wrapText="1"/>
    </xf>
    <xf numFmtId="0" fontId="112" fillId="0" borderId="122" applyAlignment="1" pivotButton="0" quotePrefix="0" xfId="3">
      <alignment horizontal="left" vertical="center" wrapText="1"/>
    </xf>
    <xf numFmtId="0" fontId="5" fillId="5" borderId="19" applyAlignment="1" pivotButton="0" quotePrefix="0" xfId="0">
      <alignment horizontal="center" vertical="center" wrapText="1"/>
    </xf>
    <xf numFmtId="0" fontId="5" fillId="5" borderId="20" applyAlignment="1" pivotButton="0" quotePrefix="0" xfId="0">
      <alignment horizontal="center" vertical="center" wrapText="1"/>
    </xf>
    <xf numFmtId="0" fontId="2" fillId="0" borderId="9" applyAlignment="1" applyProtection="1" pivotButton="0" quotePrefix="0" xfId="1">
      <alignment horizontal="distributed" vertical="center"/>
      <protection locked="1" hidden="1"/>
    </xf>
    <xf numFmtId="0" fontId="30" fillId="0" borderId="19" applyAlignment="1" pivotButton="0" quotePrefix="0" xfId="0">
      <alignment horizontal="left" vertical="top" wrapText="1"/>
    </xf>
    <xf numFmtId="0" fontId="31" fillId="0" borderId="0" applyAlignment="1" pivotButton="0" quotePrefix="0" xfId="0">
      <alignment horizontal="left" vertical="top" wrapText="1"/>
    </xf>
    <xf numFmtId="0" fontId="6" fillId="0" borderId="0" applyAlignment="1" pivotButton="0" quotePrefix="0" xfId="0">
      <alignment horizontal="justify" vertical="center" wrapText="1"/>
    </xf>
    <xf numFmtId="0" fontId="6" fillId="0" borderId="47" applyAlignment="1" pivotButton="0" quotePrefix="0" xfId="0">
      <alignment horizontal="justify" vertical="center" wrapText="1"/>
    </xf>
    <xf numFmtId="0" fontId="6" fillId="0" borderId="28" applyAlignment="1" pivotButton="0" quotePrefix="0" xfId="0">
      <alignment vertical="center" wrapText="1"/>
    </xf>
    <xf numFmtId="0" fontId="6" fillId="0" borderId="0" applyAlignment="1" pivotButton="0" quotePrefix="0" xfId="0">
      <alignment vertical="center" wrapText="1"/>
    </xf>
    <xf numFmtId="0" fontId="6" fillId="0" borderId="50" applyAlignment="1" pivotButton="0" quotePrefix="0" xfId="0">
      <alignment vertical="center" wrapText="1"/>
    </xf>
    <xf numFmtId="0" fontId="5" fillId="11" borderId="9" applyAlignment="1" pivotButton="0" quotePrefix="0" xfId="0">
      <alignment horizontal="center" vertical="center" wrapText="1"/>
    </xf>
    <xf numFmtId="0" fontId="5" fillId="0" borderId="50" applyAlignment="1" pivotButton="0" quotePrefix="0" xfId="0">
      <alignment horizontal="center" vertical="center" wrapText="1"/>
    </xf>
    <xf numFmtId="0" fontId="5" fillId="0" borderId="47" applyAlignment="1" pivotButton="0" quotePrefix="0" xfId="0">
      <alignment horizontal="center" vertical="center" wrapText="1"/>
    </xf>
    <xf numFmtId="0" fontId="5" fillId="0" borderId="0" applyAlignment="1" pivotButton="0" quotePrefix="0" xfId="0">
      <alignment horizontal="justify" vertical="center" wrapText="1"/>
    </xf>
    <xf numFmtId="0" fontId="5" fillId="0" borderId="9" applyAlignment="1" pivotButton="0" quotePrefix="0" xfId="0">
      <alignment horizontal="center" vertical="center" wrapText="1"/>
    </xf>
    <xf numFmtId="0" fontId="30" fillId="0" borderId="113" applyAlignment="1" applyProtection="1" pivotButton="0" quotePrefix="0" xfId="0">
      <alignment vertical="center" wrapText="1"/>
      <protection locked="1" hidden="1"/>
    </xf>
    <xf numFmtId="0" fontId="30" fillId="0" borderId="112" applyAlignment="1" applyProtection="1" pivotButton="0" quotePrefix="0" xfId="0">
      <alignment vertical="center" wrapText="1"/>
      <protection locked="1" hidden="1"/>
    </xf>
    <xf numFmtId="0" fontId="30" fillId="0" borderId="111" applyAlignment="1" applyProtection="1" pivotButton="0" quotePrefix="0" xfId="0">
      <alignment vertical="center" wrapText="1"/>
      <protection locked="1" hidden="1"/>
    </xf>
    <xf numFmtId="0" fontId="0" fillId="0" borderId="30" applyAlignment="1" applyProtection="1" pivotButton="0" quotePrefix="0" xfId="0">
      <alignment vertical="center" wrapText="1"/>
      <protection locked="1" hidden="1"/>
    </xf>
    <xf numFmtId="0" fontId="43" fillId="0" borderId="0" applyAlignment="1" pivotButton="0" quotePrefix="0" xfId="0">
      <alignment vertical="center"/>
    </xf>
    <xf numFmtId="0" fontId="2" fillId="0" borderId="10" applyAlignment="1" applyProtection="1" pivotButton="0" quotePrefix="0" xfId="1">
      <alignment horizontal="distributed" vertical="center"/>
      <protection locked="1" hidden="1"/>
    </xf>
    <xf numFmtId="0" fontId="2" fillId="0" borderId="8" applyAlignment="1" applyProtection="1" pivotButton="0" quotePrefix="0" xfId="1">
      <alignment horizontal="distributed" vertical="center"/>
      <protection locked="1" hidden="1"/>
    </xf>
    <xf numFmtId="0" fontId="37" fillId="0" borderId="26" applyAlignment="1" pivotButton="0" quotePrefix="0" xfId="0">
      <alignment horizontal="justify" vertical="center" wrapText="1"/>
    </xf>
    <xf numFmtId="0" fontId="6" fillId="0" borderId="27" applyAlignment="1" pivotButton="0" quotePrefix="0" xfId="0">
      <alignment horizontal="justify" vertical="center" wrapText="1"/>
    </xf>
    <xf numFmtId="0" fontId="55" fillId="0" borderId="116" applyAlignment="1" pivotButton="0" quotePrefix="0" xfId="3">
      <alignment horizontal="left" vertical="top" wrapText="1"/>
    </xf>
    <xf numFmtId="0" fontId="2" fillId="0" borderId="118" applyAlignment="1" pivotButton="0" quotePrefix="0" xfId="3">
      <alignment horizontal="left" vertical="top" wrapText="1"/>
    </xf>
    <xf numFmtId="0" fontId="2" fillId="0" borderId="117" applyAlignment="1" pivotButton="0" quotePrefix="0" xfId="3">
      <alignment horizontal="center" vertical="top" wrapText="1"/>
    </xf>
    <xf numFmtId="0" fontId="6" fillId="0" borderId="132" applyAlignment="1" pivotButton="0" quotePrefix="0" xfId="0">
      <alignment horizontal="center" vertical="center" wrapText="1"/>
    </xf>
    <xf numFmtId="0" fontId="5" fillId="0" borderId="75" applyAlignment="1" pivotButton="0" quotePrefix="0" xfId="0">
      <alignment horizontal="left" vertical="center"/>
    </xf>
    <xf numFmtId="0" fontId="66" fillId="13" borderId="0" applyAlignment="1" pivotButton="0" quotePrefix="0" xfId="0">
      <alignment horizontal="center" vertical="center" wrapText="1"/>
    </xf>
    <xf numFmtId="0" fontId="24" fillId="0" borderId="96" applyAlignment="1" pivotButton="0" quotePrefix="0" xfId="0">
      <alignment horizontal="center" vertical="center" wrapText="1"/>
    </xf>
    <xf numFmtId="0" fontId="5" fillId="0" borderId="5" applyAlignment="1" pivotButton="0" quotePrefix="0" xfId="0">
      <alignment horizontal="center" vertical="center"/>
    </xf>
    <xf numFmtId="0" fontId="5" fillId="2" borderId="5" applyAlignment="1" pivotButton="0" quotePrefix="0" xfId="0">
      <alignment horizontal="center" vertical="center"/>
    </xf>
    <xf numFmtId="0" fontId="5" fillId="0" borderId="10"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9" applyAlignment="1" pivotButton="0" quotePrefix="0" xfId="0">
      <alignment horizontal="center" vertical="center"/>
    </xf>
    <xf numFmtId="0" fontId="5" fillId="0" borderId="10" applyAlignment="1" pivotButton="0" quotePrefix="0" xfId="0">
      <alignment horizontal="center" vertical="center"/>
    </xf>
    <xf numFmtId="0" fontId="5" fillId="5" borderId="0" applyAlignment="1" pivotButton="0" quotePrefix="0" xfId="0">
      <alignment horizontal="center" vertical="center"/>
    </xf>
    <xf numFmtId="0" fontId="5" fillId="0" borderId="0" applyAlignment="1" pivotButton="0" quotePrefix="0" xfId="0">
      <alignment vertical="center"/>
    </xf>
    <xf numFmtId="49" fontId="5" fillId="5" borderId="5" applyAlignment="1" pivotButton="0" quotePrefix="0" xfId="0">
      <alignment horizontal="center" vertical="center"/>
    </xf>
    <xf numFmtId="0" fontId="5" fillId="2" borderId="5" applyAlignment="1" pivotButton="0" quotePrefix="0" xfId="0">
      <alignment horizontal="center" vertical="center" wrapText="1"/>
    </xf>
    <xf numFmtId="0" fontId="5" fillId="0" borderId="0" applyAlignment="1" pivotButton="0" quotePrefix="0" xfId="0">
      <alignment horizontal="left" vertical="top" wrapText="1"/>
    </xf>
    <xf numFmtId="0" fontId="5" fillId="0" borderId="0" applyAlignment="1" pivotButton="0" quotePrefix="0" xfId="0">
      <alignment vertical="center" wrapText="1"/>
    </xf>
    <xf numFmtId="49" fontId="21" fillId="0" borderId="5" applyAlignment="1" pivotButton="0" quotePrefix="0" xfId="0">
      <alignment horizontal="center" vertical="center"/>
    </xf>
    <xf numFmtId="0" fontId="21" fillId="0" borderId="5" applyAlignment="1" pivotButton="0" quotePrefix="0" xfId="0">
      <alignment horizontal="center" vertical="center" shrinkToFit="1"/>
    </xf>
    <xf numFmtId="0" fontId="21" fillId="0" borderId="5" applyAlignment="1" pivotButton="0" quotePrefix="0" xfId="0">
      <alignment horizontal="center" vertical="center" wrapText="1"/>
    </xf>
    <xf numFmtId="0" fontId="21" fillId="0" borderId="5" applyAlignment="1" pivotButton="0" quotePrefix="0" xfId="0">
      <alignment horizontal="center" vertical="center"/>
    </xf>
    <xf numFmtId="0" fontId="21" fillId="0" borderId="0" applyAlignment="1" pivotButton="0" quotePrefix="0" xfId="0">
      <alignment vertical="center"/>
    </xf>
    <xf numFmtId="0" fontId="96" fillId="0" borderId="5" applyAlignment="1" pivotButton="0" quotePrefix="0" xfId="0">
      <alignment horizontal="center" vertical="center" wrapText="1"/>
    </xf>
    <xf numFmtId="0" fontId="96" fillId="0" borderId="5" applyAlignment="1" pivotButton="0" quotePrefix="0" xfId="0">
      <alignment horizontal="center" vertical="center"/>
    </xf>
    <xf numFmtId="0" fontId="21" fillId="0" borderId="13" applyAlignment="1" applyProtection="1" pivotButton="0" quotePrefix="0" xfId="1">
      <alignment horizontal="center" vertical="center"/>
      <protection locked="1" hidden="1"/>
    </xf>
    <xf numFmtId="0" fontId="2" fillId="0" borderId="0" applyAlignment="1" applyProtection="1" pivotButton="0" quotePrefix="0" xfId="1">
      <alignment vertical="center"/>
      <protection locked="1" hidden="1"/>
    </xf>
    <xf numFmtId="0" fontId="5" fillId="0" borderId="5" applyAlignment="1" pivotButton="0" quotePrefix="0" xfId="0">
      <alignment horizontal="left" vertical="center" wrapText="1"/>
    </xf>
    <xf numFmtId="0" fontId="6" fillId="0" borderId="5" applyAlignment="1" pivotButton="0" quotePrefix="0" xfId="0">
      <alignment horizontal="center" vertical="center" wrapText="1"/>
    </xf>
    <xf numFmtId="0" fontId="5" fillId="0" borderId="0" applyAlignment="1" pivotButton="0" quotePrefix="0" xfId="0">
      <alignment horizontal="center" vertical="center"/>
    </xf>
    <xf numFmtId="0" fontId="0" fillId="0" borderId="0" pivotButton="0" quotePrefix="0" xfId="0"/>
    <xf numFmtId="0" fontId="30" fillId="0" borderId="5" applyAlignment="1" pivotButton="0" quotePrefix="0" xfId="0">
      <alignment horizontal="center" vertical="center"/>
    </xf>
    <xf numFmtId="0" fontId="30" fillId="0" borderId="0" applyAlignment="1" pivotButton="0" quotePrefix="0" xfId="0">
      <alignment horizontal="left" vertical="center" wrapText="1"/>
    </xf>
    <xf numFmtId="0" fontId="30" fillId="0" borderId="0" applyAlignment="1" pivotButton="0" quotePrefix="0" xfId="0">
      <alignment horizontal="left" vertical="top"/>
    </xf>
    <xf numFmtId="0" fontId="5" fillId="0" borderId="0" applyAlignment="1" pivotButton="0" quotePrefix="0" xfId="0">
      <alignment horizontal="left" vertical="center" wrapText="1"/>
    </xf>
    <xf numFmtId="0" fontId="7" fillId="0" borderId="0" applyAlignment="1" applyProtection="1" pivotButton="0" quotePrefix="0" xfId="0">
      <alignment horizontal="left" vertical="center"/>
      <protection locked="1" hidden="1"/>
    </xf>
    <xf numFmtId="0" fontId="7" fillId="0" borderId="0" applyAlignment="1" applyProtection="1" pivotButton="0" quotePrefix="0" xfId="0">
      <alignment horizontal="left" vertical="distributed" wrapText="1"/>
      <protection locked="1" hidden="1"/>
    </xf>
    <xf numFmtId="0" fontId="31" fillId="0" borderId="50" applyAlignment="1" pivotButton="0" quotePrefix="0" xfId="0">
      <alignment horizontal="left" vertical="top" wrapText="1"/>
    </xf>
    <xf numFmtId="0" fontId="10" fillId="0" borderId="0" applyAlignment="1" pivotButton="0" quotePrefix="0" xfId="0">
      <alignment horizontal="left" vertical="distributed" wrapText="1"/>
    </xf>
    <xf numFmtId="0" fontId="40" fillId="0" borderId="0" applyAlignment="1" pivotButton="0" quotePrefix="0" xfId="0">
      <alignment vertical="center"/>
    </xf>
    <xf numFmtId="0" fontId="40" fillId="0" borderId="0" applyAlignment="1" pivotButton="0" quotePrefix="0" xfId="0">
      <alignment vertical="distributed"/>
    </xf>
    <xf numFmtId="0" fontId="6" fillId="0" borderId="0" applyAlignment="1" pivotButton="0" quotePrefix="0" xfId="0">
      <alignment horizontal="left" vertical="center"/>
    </xf>
    <xf numFmtId="0" fontId="5" fillId="0" borderId="58" applyAlignment="1" pivotButton="0" quotePrefix="0" xfId="0">
      <alignment horizontal="left" vertical="center"/>
    </xf>
    <xf numFmtId="0" fontId="5" fillId="0" borderId="0" applyAlignment="1" pivotButton="0" quotePrefix="0" xfId="0">
      <alignment horizontal="left" vertical="center"/>
    </xf>
    <xf numFmtId="0" fontId="5" fillId="11" borderId="5" applyAlignment="1" pivotButton="0" quotePrefix="0" xfId="0">
      <alignment horizontal="center" vertical="center" wrapText="1"/>
    </xf>
    <xf numFmtId="0" fontId="0" fillId="0" borderId="0" applyAlignment="1" pivotButton="0" quotePrefix="0" xfId="0">
      <alignment vertical="center"/>
    </xf>
    <xf numFmtId="0" fontId="5" fillId="0" borderId="25" applyAlignment="1" pivotButton="0" quotePrefix="0" xfId="0">
      <alignment horizontal="left" vertical="center" wrapText="1"/>
    </xf>
    <xf numFmtId="0" fontId="5" fillId="0" borderId="69" applyAlignment="1" pivotButton="0" quotePrefix="0" xfId="0">
      <alignment horizontal="center" vertical="center" wrapText="1"/>
    </xf>
    <xf numFmtId="0" fontId="54" fillId="0" borderId="0" applyAlignment="1" pivotButton="0" quotePrefix="0" xfId="0">
      <alignment horizontal="center" vertical="center"/>
    </xf>
    <xf numFmtId="0" fontId="7" fillId="0" borderId="0" applyAlignment="1" pivotButton="0" quotePrefix="0" xfId="0">
      <alignment horizontal="left" vertical="distributed" wrapText="1"/>
    </xf>
    <xf numFmtId="0" fontId="24" fillId="0" borderId="0" applyAlignment="1" pivotButton="0" quotePrefix="0" xfId="0">
      <alignment horizontal="left" vertical="distributed" wrapText="1"/>
    </xf>
    <xf numFmtId="0" fontId="24" fillId="0" borderId="0" applyAlignment="1" pivotButton="0" quotePrefix="0" xfId="0">
      <alignment horizontal="left" vertical="center"/>
    </xf>
    <xf numFmtId="0" fontId="5" fillId="0" borderId="27" applyAlignment="1" pivotButton="0" quotePrefix="0" xfId="0">
      <alignment vertical="center"/>
    </xf>
    <xf numFmtId="0" fontId="43" fillId="0" borderId="27" applyAlignment="1" pivotButton="0" quotePrefix="0" xfId="0">
      <alignment vertical="center"/>
    </xf>
    <xf numFmtId="0" fontId="7" fillId="0" borderId="0" applyAlignment="1" pivotButton="0" quotePrefix="0" xfId="0">
      <alignment horizontal="distributed" vertical="center"/>
    </xf>
    <xf numFmtId="0" fontId="6" fillId="0" borderId="0" applyAlignment="1" pivotButton="0" quotePrefix="0" xfId="0">
      <alignment horizontal="distributed" vertical="center"/>
    </xf>
    <xf numFmtId="0" fontId="6" fillId="0" borderId="0" applyAlignment="1" pivotButton="0" quotePrefix="0" xfId="0">
      <alignment vertical="center"/>
    </xf>
    <xf numFmtId="0" fontId="30" fillId="0" borderId="0" applyAlignment="1" pivotButton="0" quotePrefix="0" xfId="0">
      <alignment horizontal="left" vertical="center"/>
    </xf>
    <xf numFmtId="0" fontId="0" fillId="0" borderId="5" applyAlignment="1" pivotButton="0" quotePrefix="0" xfId="0">
      <alignment vertical="center"/>
    </xf>
    <xf numFmtId="0" fontId="96" fillId="0" borderId="0" applyAlignment="1" pivotButton="0" quotePrefix="0" xfId="0">
      <alignment vertical="center"/>
    </xf>
    <xf numFmtId="0" fontId="13" fillId="0" borderId="0" applyAlignment="1" pivotButton="0" quotePrefix="0" xfId="0">
      <alignment horizontal="left" vertical="center"/>
    </xf>
    <xf numFmtId="0" fontId="51" fillId="0" borderId="0" applyAlignment="1" pivotButton="0" quotePrefix="0" xfId="0">
      <alignment vertical="center"/>
    </xf>
    <xf numFmtId="0" fontId="13" fillId="0" borderId="0" applyAlignment="1" pivotButton="0" quotePrefix="0" xfId="0">
      <alignment horizontal="left" vertical="center" wrapText="1"/>
    </xf>
    <xf numFmtId="0" fontId="37" fillId="0" borderId="10" applyAlignment="1" pivotButton="0" quotePrefix="0" xfId="0">
      <alignment horizontal="center" vertical="center" wrapText="1"/>
    </xf>
    <xf numFmtId="0" fontId="37" fillId="0" borderId="0" applyAlignment="1" pivotButton="0" quotePrefix="0" xfId="0">
      <alignment horizontal="center" vertical="center" wrapText="1"/>
    </xf>
    <xf numFmtId="0" fontId="6" fillId="0" borderId="5" applyAlignment="1" pivotButton="0" quotePrefix="0" xfId="0">
      <alignment horizontal="justify" vertical="center" wrapText="1"/>
    </xf>
    <xf numFmtId="0" fontId="6" fillId="0" borderId="5" applyAlignment="1" pivotButton="0" quotePrefix="0" xfId="0">
      <alignment vertical="center" wrapText="1"/>
    </xf>
    <xf numFmtId="0" fontId="8" fillId="0" borderId="5" applyAlignment="1" pivotButton="0" quotePrefix="0" xfId="0">
      <alignment horizontal="justify" vertical="center" wrapText="1"/>
    </xf>
    <xf numFmtId="0" fontId="55" fillId="0" borderId="122" applyAlignment="1" pivotButton="0" quotePrefix="0" xfId="3">
      <alignment horizontal="left" vertical="top" wrapText="1"/>
    </xf>
    <xf numFmtId="0" fontId="73" fillId="0" borderId="0" applyAlignment="1" pivotButton="0" quotePrefix="0" xfId="3">
      <alignment horizontal="left" vertical="top"/>
    </xf>
    <xf numFmtId="0" fontId="2" fillId="0" borderId="5" applyAlignment="1" pivotButton="0" quotePrefix="0" xfId="3">
      <alignment horizontal="center" vertical="top" wrapText="1"/>
    </xf>
    <xf numFmtId="0" fontId="55" fillId="0" borderId="5" applyAlignment="1" pivotButton="0" quotePrefix="0" xfId="3">
      <alignment horizontal="left" vertical="top" wrapText="1"/>
    </xf>
    <xf numFmtId="0" fontId="2" fillId="0" borderId="122" applyAlignment="1" pivotButton="0" quotePrefix="0" xfId="3">
      <alignment horizontal="left" vertical="top" wrapText="1"/>
    </xf>
    <xf numFmtId="0" fontId="2" fillId="0" borderId="5" applyAlignment="1" pivotButton="0" quotePrefix="0" xfId="3">
      <alignment horizontal="left" vertical="top" wrapText="1"/>
    </xf>
    <xf numFmtId="0" fontId="6" fillId="0" borderId="25" applyAlignment="1" pivotButton="0" quotePrefix="0" xfId="0">
      <alignment horizontal="center" vertical="center" wrapText="1"/>
    </xf>
    <xf numFmtId="0" fontId="5" fillId="0" borderId="0" applyAlignment="1" pivotButton="0" quotePrefix="0" xfId="0">
      <alignment horizontal="center" vertical="center" wrapText="1"/>
    </xf>
    <xf numFmtId="0" fontId="37" fillId="0" borderId="0" applyAlignment="1" pivotButton="0" quotePrefix="0" xfId="0">
      <alignment horizontal="left"/>
    </xf>
    <xf numFmtId="0" fontId="5" fillId="0" borderId="25" applyAlignment="1" pivotButton="0" quotePrefix="0" xfId="0">
      <alignment horizontal="center" vertical="center" wrapText="1"/>
    </xf>
    <xf numFmtId="0" fontId="30" fillId="0" borderId="0" applyAlignment="1" pivotButton="0" quotePrefix="0" xfId="0">
      <alignment vertical="center"/>
    </xf>
    <xf numFmtId="0" fontId="5" fillId="0" borderId="0" applyAlignment="1" pivotButton="0" quotePrefix="0" xfId="0">
      <alignment horizontal="center" vertical="top" wrapText="1"/>
    </xf>
    <xf numFmtId="0" fontId="61" fillId="0" borderId="0" applyAlignment="1" pivotButton="0" quotePrefix="0" xfId="0">
      <alignment vertical="center" wrapText="1"/>
    </xf>
    <xf numFmtId="0" fontId="5" fillId="0" borderId="16" applyAlignment="1" pivotButton="0" quotePrefix="0" xfId="0">
      <alignment vertical="center" wrapText="1"/>
    </xf>
    <xf numFmtId="0" fontId="5" fillId="0" borderId="13" applyAlignment="1" pivotButton="0" quotePrefix="0" xfId="0">
      <alignment horizontal="left" vertical="center"/>
    </xf>
    <xf numFmtId="0" fontId="5" fillId="0" borderId="0" applyAlignment="1" pivotButton="0" quotePrefix="0" xfId="0">
      <alignment horizontal="left" vertical="center" indent="3"/>
    </xf>
    <xf numFmtId="0" fontId="5" fillId="0" borderId="11" applyAlignment="1" pivotButton="0" quotePrefix="0" xfId="0">
      <alignment horizontal="left" vertical="center" wrapText="1"/>
    </xf>
    <xf numFmtId="0" fontId="2" fillId="0" borderId="0" applyAlignment="1" pivotButton="0" quotePrefix="0" xfId="0">
      <alignment vertical="center"/>
    </xf>
    <xf numFmtId="0" fontId="24" fillId="0" borderId="97" applyAlignment="1" pivotButton="0" quotePrefix="0" xfId="0">
      <alignment horizontal="center" vertical="center" wrapText="1"/>
    </xf>
    <xf numFmtId="164" fontId="5" fillId="5" borderId="5" applyAlignment="1" pivotButton="0" quotePrefix="1" xfId="0">
      <alignment horizontal="center" vertical="center" wrapText="1"/>
    </xf>
    <xf numFmtId="164" fontId="5" fillId="0" borderId="5" applyAlignment="1" pivotButton="0" quotePrefix="0" xfId="0">
      <alignment horizontal="center" vertical="center"/>
    </xf>
    <xf numFmtId="164" fontId="5" fillId="5" borderId="0" applyAlignment="1" pivotButton="0" quotePrefix="1" xfId="0">
      <alignment vertical="center"/>
    </xf>
    <xf numFmtId="165" fontId="71" fillId="0" borderId="0" applyAlignment="1" pivotButton="0" quotePrefix="0" xfId="2">
      <alignment horizontal="center" vertical="center" wrapText="1"/>
    </xf>
    <xf numFmtId="164" fontId="5" fillId="5" borderId="0" applyAlignment="1" pivotButton="0" quotePrefix="1" xfId="0">
      <alignment horizontal="center" vertical="center"/>
    </xf>
    <xf numFmtId="165" fontId="5" fillId="5" borderId="0" applyAlignment="1" pivotButton="0" quotePrefix="0" xfId="0">
      <alignment vertical="center"/>
    </xf>
    <xf numFmtId="164" fontId="5" fillId="5" borderId="0" applyAlignment="1" pivotButton="0" quotePrefix="0" xfId="0">
      <alignment horizontal="center" vertical="center"/>
    </xf>
    <xf numFmtId="166" fontId="6" fillId="20" borderId="5" applyAlignment="1" pivotButton="0" quotePrefix="0" xfId="0">
      <alignment vertical="center"/>
    </xf>
    <xf numFmtId="167" fontId="53" fillId="20" borderId="5" applyAlignment="1" pivotButton="0" quotePrefix="0" xfId="0">
      <alignment horizontal="center" vertical="center"/>
    </xf>
    <xf numFmtId="168" fontId="6" fillId="20" borderId="5" applyAlignment="1" pivotButton="0" quotePrefix="0" xfId="0">
      <alignment horizontal="center" vertical="center"/>
    </xf>
    <xf numFmtId="165" fontId="6" fillId="20" borderId="9" applyAlignment="1" pivotButton="0" quotePrefix="0" xfId="0">
      <alignment vertical="center" wrapText="1"/>
    </xf>
    <xf numFmtId="165" fontId="6" fillId="0" borderId="16" applyAlignment="1" pivotButton="0" quotePrefix="0" xfId="0">
      <alignment vertical="center" wrapText="1"/>
    </xf>
    <xf numFmtId="166" fontId="6" fillId="0" borderId="11" applyAlignment="1" pivotButton="0" quotePrefix="0" xfId="0">
      <alignment horizontal="center" vertical="center"/>
    </xf>
    <xf numFmtId="167" fontId="6" fillId="0" borderId="11" applyAlignment="1" pivotButton="0" quotePrefix="0" xfId="0">
      <alignment horizontal="center" vertical="center"/>
    </xf>
    <xf numFmtId="168" fontId="6" fillId="6" borderId="5" applyAlignment="1" pivotButton="0" quotePrefix="0" xfId="0">
      <alignment horizontal="center" vertical="center"/>
    </xf>
    <xf numFmtId="166" fontId="6" fillId="20" borderId="5" applyAlignment="1" pivotButton="0" quotePrefix="0" xfId="0">
      <alignment horizontal="center" vertical="center"/>
    </xf>
    <xf numFmtId="167" fontId="6" fillId="20" borderId="5" applyAlignment="1" pivotButton="0" quotePrefix="0" xfId="0">
      <alignment horizontal="center" vertical="center"/>
    </xf>
    <xf numFmtId="165" fontId="6" fillId="5" borderId="9" applyAlignment="1" pivotButton="0" quotePrefix="0" xfId="0">
      <alignment vertical="center" wrapText="1"/>
    </xf>
    <xf numFmtId="166" fontId="6" fillId="0" borderId="5" applyAlignment="1" pivotButton="0" quotePrefix="0" xfId="0">
      <alignment horizontal="center" vertical="center"/>
    </xf>
    <xf numFmtId="167" fontId="6" fillId="0" borderId="5" applyAlignment="1" pivotButton="0" quotePrefix="0" xfId="0">
      <alignment horizontal="center" vertical="center"/>
    </xf>
    <xf numFmtId="165" fontId="6" fillId="5" borderId="0" applyAlignment="1" pivotButton="0" quotePrefix="0" xfId="0">
      <alignment vertical="center" wrapText="1"/>
    </xf>
    <xf numFmtId="169" fontId="5" fillId="0" borderId="5" applyAlignment="1" pivotButton="0" quotePrefix="0" xfId="0">
      <alignment horizontal="center" vertical="center" wrapText="1"/>
    </xf>
    <xf numFmtId="166" fontId="5" fillId="0" borderId="0" applyAlignment="1" pivotButton="0" quotePrefix="0" xfId="0">
      <alignment vertical="center"/>
    </xf>
    <xf numFmtId="168" fontId="6" fillId="5" borderId="0" applyAlignment="1" pivotButton="0" quotePrefix="0" xfId="0">
      <alignment horizontal="center" vertical="center"/>
    </xf>
    <xf numFmtId="170" fontId="5" fillId="0" borderId="0" applyAlignment="1" pivotButton="0" quotePrefix="0" xfId="0">
      <alignment vertical="center"/>
    </xf>
    <xf numFmtId="171" fontId="31" fillId="0" borderId="0" applyAlignment="1" pivotButton="0" quotePrefix="0" xfId="0">
      <alignment vertical="top"/>
    </xf>
    <xf numFmtId="172" fontId="5" fillId="0" borderId="82" applyAlignment="1" pivotButton="0" quotePrefix="0" xfId="0">
      <alignment horizontal="center" vertical="center" wrapText="1"/>
    </xf>
    <xf numFmtId="0" fontId="113" fillId="22" borderId="0" applyAlignment="1" pivotButton="0" quotePrefix="0" xfId="0">
      <alignment horizontal="center" vertical="center" wrapText="1"/>
    </xf>
    <xf numFmtId="0" fontId="0" fillId="23" borderId="0" applyAlignment="1" pivotButton="0" quotePrefix="0" xfId="0">
      <alignment vertical="center" wrapText="1"/>
    </xf>
    <xf numFmtId="0" fontId="0" fillId="0" borderId="5" applyAlignment="1" pivotButton="0" quotePrefix="0" xfId="0">
      <alignment horizontal="center" vertical="center"/>
    </xf>
    <xf numFmtId="0" fontId="0" fillId="0" borderId="10" pivotButton="0" quotePrefix="0" xfId="0"/>
    <xf numFmtId="0" fontId="5" fillId="0" borderId="5" applyAlignment="1" pivotButton="0" quotePrefix="0" xfId="0">
      <alignment horizontal="center" vertical="center"/>
    </xf>
    <xf numFmtId="0" fontId="5" fillId="2" borderId="5" applyAlignment="1" pivotButton="0" quotePrefix="0" xfId="0">
      <alignment horizontal="center" vertical="center"/>
    </xf>
    <xf numFmtId="0" fontId="0" fillId="0" borderId="8" pivotButton="0" quotePrefix="0" xfId="0"/>
    <xf numFmtId="0" fontId="5" fillId="0" borderId="10" applyAlignment="1" pivotButton="0" quotePrefix="0" xfId="0">
      <alignment horizontal="center" vertical="center" wrapText="1"/>
    </xf>
    <xf numFmtId="0" fontId="5" fillId="0" borderId="5" applyAlignment="1" pivotButton="0" quotePrefix="0" xfId="0">
      <alignment horizontal="center" vertical="center" wrapText="1"/>
    </xf>
    <xf numFmtId="0" fontId="0" fillId="0" borderId="19" pivotButton="0" quotePrefix="0" xfId="0"/>
    <xf numFmtId="0" fontId="0" fillId="0" borderId="18" pivotButton="0" quotePrefix="0" xfId="0"/>
    <xf numFmtId="0" fontId="0" fillId="0" borderId="20" pivotButton="0" quotePrefix="0" xfId="0"/>
    <xf numFmtId="0" fontId="0" fillId="0" borderId="13" pivotButton="0" quotePrefix="0" xfId="0"/>
    <xf numFmtId="0" fontId="0" fillId="0" borderId="14" pivotButton="0" quotePrefix="0" xfId="0"/>
    <xf numFmtId="0" fontId="5" fillId="2" borderId="5" applyAlignment="1" pivotButton="0" quotePrefix="0" xfId="0">
      <alignment horizontal="center" vertical="center" wrapText="1"/>
    </xf>
    <xf numFmtId="0" fontId="0" fillId="0" borderId="11" pivotButton="0" quotePrefix="0" xfId="0"/>
    <xf numFmtId="0" fontId="5" fillId="0" borderId="5" applyAlignment="1" pivotButton="0" quotePrefix="0" xfId="0">
      <alignment horizontal="center" vertical="top" wrapText="1"/>
    </xf>
    <xf numFmtId="164" fontId="5" fillId="0" borderId="5" applyAlignment="1" pivotButton="0" quotePrefix="0" xfId="0">
      <alignment horizontal="center" vertical="center"/>
    </xf>
    <xf numFmtId="0" fontId="5" fillId="5" borderId="5" applyAlignment="1" pivotButton="0" quotePrefix="0" xfId="0">
      <alignment horizontal="center" vertical="center" wrapText="1"/>
    </xf>
    <xf numFmtId="0" fontId="5" fillId="5" borderId="0" applyAlignment="1" pivotButton="0" quotePrefix="0" xfId="0">
      <alignment horizontal="center" vertical="center"/>
    </xf>
    <xf numFmtId="0" fontId="5" fillId="0" borderId="0" applyAlignment="1" pivotButton="0" quotePrefix="0" xfId="0">
      <alignment vertical="center"/>
    </xf>
    <xf numFmtId="164" fontId="5" fillId="5" borderId="5" applyAlignment="1" pivotButton="0" quotePrefix="0" xfId="0">
      <alignment horizontal="center" vertical="center"/>
    </xf>
    <xf numFmtId="165" fontId="5" fillId="0" borderId="5" applyAlignment="1" pivotButton="0" quotePrefix="0" xfId="0">
      <alignment horizontal="center" vertical="center" wrapText="1"/>
    </xf>
    <xf numFmtId="0" fontId="5" fillId="0" borderId="9" applyAlignment="1" pivotButton="0" quotePrefix="0" xfId="0">
      <alignment horizontal="center" vertical="center"/>
    </xf>
    <xf numFmtId="0" fontId="5" fillId="0" borderId="10" applyAlignment="1" pivotButton="0" quotePrefix="0" xfId="0">
      <alignment horizontal="center" vertical="center"/>
    </xf>
    <xf numFmtId="49" fontId="5" fillId="5" borderId="5" applyAlignment="1" pivotButton="0" quotePrefix="0" xfId="0">
      <alignment horizontal="center" vertical="center"/>
    </xf>
    <xf numFmtId="0" fontId="5" fillId="5" borderId="10" applyAlignment="1" pivotButton="0" quotePrefix="0" xfId="0">
      <alignment horizontal="center" vertical="center"/>
    </xf>
    <xf numFmtId="0" fontId="5" fillId="0" borderId="0" applyAlignment="1" pivotButton="0" quotePrefix="0" xfId="0">
      <alignment horizontal="left" vertical="top" wrapText="1"/>
    </xf>
    <xf numFmtId="0" fontId="5" fillId="0" borderId="0" applyAlignment="1" pivotButton="0" quotePrefix="0" xfId="0">
      <alignment vertical="center" wrapText="1"/>
    </xf>
    <xf numFmtId="0" fontId="21" fillId="0" borderId="5" applyAlignment="1" pivotButton="0" quotePrefix="0" xfId="0">
      <alignment horizontal="center" vertical="center"/>
    </xf>
    <xf numFmtId="0" fontId="21" fillId="0" borderId="14" applyAlignment="1" pivotButton="0" quotePrefix="0" xfId="0">
      <alignment horizontal="center" vertical="center"/>
    </xf>
    <xf numFmtId="49" fontId="21" fillId="0" borderId="5" applyAlignment="1" pivotButton="0" quotePrefix="0" xfId="0">
      <alignment horizontal="center" vertical="center"/>
    </xf>
    <xf numFmtId="0" fontId="21" fillId="0" borderId="5" applyAlignment="1" pivotButton="0" quotePrefix="0" xfId="0">
      <alignment horizontal="left" vertical="top" wrapText="1" shrinkToFit="1"/>
    </xf>
    <xf numFmtId="49" fontId="96" fillId="0" borderId="5" applyAlignment="1" pivotButton="0" quotePrefix="0" xfId="0">
      <alignment horizontal="center" vertical="center" wrapText="1"/>
    </xf>
    <xf numFmtId="0" fontId="0" fillId="0" borderId="27" pivotButton="0" quotePrefix="0" xfId="0"/>
    <xf numFmtId="0" fontId="21" fillId="0" borderId="0" applyAlignment="1" pivotButton="0" quotePrefix="0" xfId="0">
      <alignment vertical="center"/>
    </xf>
    <xf numFmtId="0" fontId="0" fillId="0" borderId="16" pivotButton="0" quotePrefix="0" xfId="0"/>
    <xf numFmtId="49" fontId="21" fillId="0" borderId="5" applyAlignment="1" pivotButton="0" quotePrefix="0" xfId="0">
      <alignment horizontal="center" vertical="center" wrapText="1"/>
    </xf>
    <xf numFmtId="0" fontId="96" fillId="0" borderId="5" applyAlignment="1" pivotButton="0" quotePrefix="0" xfId="0">
      <alignment horizontal="center" vertical="center" wrapText="1"/>
    </xf>
    <xf numFmtId="0" fontId="21" fillId="0" borderId="5" applyAlignment="1" pivotButton="0" quotePrefix="0" xfId="0">
      <alignment horizontal="center" vertical="center" shrinkToFit="1"/>
    </xf>
    <xf numFmtId="0" fontId="21" fillId="0" borderId="5" applyAlignment="1" pivotButton="0" quotePrefix="0" xfId="0">
      <alignment horizontal="center" vertical="center" wrapText="1"/>
    </xf>
    <xf numFmtId="0" fontId="100" fillId="0" borderId="5" applyAlignment="1" pivotButton="0" quotePrefix="0" xfId="0">
      <alignment horizontal="center" vertical="center"/>
    </xf>
    <xf numFmtId="49" fontId="21" fillId="0" borderId="5" applyAlignment="1" pivotButton="0" quotePrefix="0" xfId="0">
      <alignment horizontal="left" vertical="top" wrapText="1"/>
    </xf>
    <xf numFmtId="0" fontId="0" fillId="0" borderId="5" applyAlignment="1" pivotButton="0" quotePrefix="0" xfId="0">
      <alignment horizontal="center" vertical="center" wrapText="1"/>
    </xf>
    <xf numFmtId="49" fontId="75" fillId="0" borderId="5" applyAlignment="1" pivotButton="0" quotePrefix="0" xfId="0">
      <alignment horizontal="left" vertical="center" wrapText="1"/>
    </xf>
    <xf numFmtId="49" fontId="96" fillId="0" borderId="5" applyAlignment="1" pivotButton="0" quotePrefix="0" xfId="0">
      <alignment horizontal="center" vertical="center" wrapText="1" shrinkToFit="1"/>
    </xf>
    <xf numFmtId="0" fontId="2" fillId="0" borderId="5" applyAlignment="1" pivotButton="0" quotePrefix="0" xfId="0">
      <alignment horizontal="center" vertical="center"/>
    </xf>
    <xf numFmtId="0" fontId="21" fillId="0" borderId="5" applyAlignment="1" pivotButton="0" quotePrefix="0" xfId="0">
      <alignment horizontal="left" vertical="center"/>
    </xf>
    <xf numFmtId="0" fontId="96" fillId="0" borderId="5" applyAlignment="1" pivotButton="0" quotePrefix="0" xfId="0">
      <alignment horizontal="center" vertical="center"/>
    </xf>
    <xf numFmtId="0" fontId="21" fillId="0" borderId="9" applyAlignment="1" pivotButton="0" quotePrefix="0" xfId="0">
      <alignment horizontal="center" vertical="center" wrapText="1"/>
    </xf>
    <xf numFmtId="49" fontId="21" fillId="0" borderId="11" applyAlignment="1" pivotButton="0" quotePrefix="0" xfId="0">
      <alignment horizontal="center" vertical="center"/>
    </xf>
    <xf numFmtId="0" fontId="2" fillId="0" borderId="5" applyAlignment="1" applyProtection="1" pivotButton="0" quotePrefix="0" xfId="1">
      <alignment horizontal="distributed" vertical="center"/>
      <protection locked="1" hidden="1"/>
    </xf>
    <xf numFmtId="0" fontId="0" fillId="0" borderId="10" applyProtection="1" pivotButton="0" quotePrefix="0" xfId="0">
      <protection locked="1" hidden="1"/>
    </xf>
    <xf numFmtId="0" fontId="0" fillId="0" borderId="8" applyProtection="1" pivotButton="0" quotePrefix="0" xfId="0">
      <protection locked="1" hidden="1"/>
    </xf>
    <xf numFmtId="0" fontId="3" fillId="0" borderId="5" applyAlignment="1" applyProtection="1" pivotButton="0" quotePrefix="0" xfId="1">
      <alignment horizontal="distributed" vertical="center" wrapText="1"/>
      <protection locked="1" hidden="1"/>
    </xf>
    <xf numFmtId="0" fontId="0" fillId="0" borderId="19" applyProtection="1" pivotButton="0" quotePrefix="0" xfId="0">
      <protection locked="1" hidden="1"/>
    </xf>
    <xf numFmtId="0" fontId="0" fillId="0" borderId="18" applyProtection="1" pivotButton="0" quotePrefix="0" xfId="0">
      <protection locked="1" hidden="1"/>
    </xf>
    <xf numFmtId="0" fontId="0" fillId="0" borderId="20" applyProtection="1" pivotButton="0" quotePrefix="0" xfId="0">
      <protection locked="1" hidden="1"/>
    </xf>
    <xf numFmtId="0" fontId="0" fillId="0" borderId="13" applyProtection="1" pivotButton="0" quotePrefix="0" xfId="0">
      <protection locked="1" hidden="1"/>
    </xf>
    <xf numFmtId="0" fontId="0" fillId="0" borderId="14" applyProtection="1" pivotButton="0" quotePrefix="0" xfId="0">
      <protection locked="1" hidden="1"/>
    </xf>
    <xf numFmtId="0" fontId="3" fillId="0" borderId="5" applyAlignment="1" applyProtection="1" pivotButton="0" quotePrefix="0" xfId="1">
      <alignment horizontal="distributed" vertical="center"/>
      <protection locked="1" hidden="1"/>
    </xf>
    <xf numFmtId="164" fontId="2" fillId="0" borderId="8" applyAlignment="1" applyProtection="1" pivotButton="0" quotePrefix="0" xfId="1">
      <alignment horizontal="distributed" vertical="center"/>
      <protection locked="1" hidden="1"/>
    </xf>
    <xf numFmtId="0" fontId="2" fillId="0" borderId="19" applyAlignment="1" applyProtection="1" pivotButton="0" quotePrefix="0" xfId="1">
      <alignment vertical="center"/>
      <protection locked="1" hidden="1"/>
    </xf>
    <xf numFmtId="0" fontId="2" fillId="0" borderId="0" applyAlignment="1" applyProtection="1" pivotButton="0" quotePrefix="0" xfId="1">
      <alignment horizontal="distributed" vertical="center"/>
      <protection locked="1" hidden="1"/>
    </xf>
    <xf numFmtId="0" fontId="0" fillId="0" borderId="0" applyProtection="1" pivotButton="0" quotePrefix="0" xfId="0">
      <protection locked="1" hidden="1"/>
    </xf>
    <xf numFmtId="0" fontId="2" fillId="0" borderId="10" applyAlignment="1" applyProtection="1" pivotButton="0" quotePrefix="0" xfId="1">
      <alignment vertical="center"/>
      <protection locked="1" hidden="1"/>
    </xf>
    <xf numFmtId="0" fontId="22" fillId="0" borderId="0" applyAlignment="1" applyProtection="1" pivotButton="0" quotePrefix="0" xfId="1">
      <alignment horizontal="distributed" vertical="center"/>
      <protection locked="1" hidden="1"/>
    </xf>
    <xf numFmtId="0" fontId="2" fillId="0" borderId="10" applyAlignment="1" applyProtection="1" pivotButton="0" quotePrefix="0" xfId="1">
      <alignment horizontal="left" vertical="center"/>
      <protection locked="1" hidden="1"/>
    </xf>
    <xf numFmtId="0" fontId="21" fillId="0" borderId="5" applyAlignment="1" applyProtection="1" pivotButton="0" quotePrefix="0" xfId="1">
      <alignment horizontal="left" vertical="center" wrapText="1"/>
      <protection locked="1" hidden="1"/>
    </xf>
    <xf numFmtId="0" fontId="3" fillId="0" borderId="11" applyAlignment="1" applyProtection="1" pivotButton="0" quotePrefix="0" xfId="1">
      <alignment horizontal="distributed" vertical="center"/>
      <protection locked="1" hidden="1"/>
    </xf>
    <xf numFmtId="0" fontId="2" fillId="0" borderId="5" applyAlignment="1" applyProtection="1" pivotButton="0" quotePrefix="0" xfId="1">
      <alignment vertical="center"/>
      <protection locked="1" hidden="1"/>
    </xf>
    <xf numFmtId="0" fontId="21" fillId="0" borderId="5" applyAlignment="1" applyProtection="1" pivotButton="0" quotePrefix="0" xfId="1">
      <alignment horizontal="left" vertical="top" wrapText="1"/>
      <protection locked="0" hidden="0"/>
    </xf>
    <xf numFmtId="0" fontId="0" fillId="0" borderId="8" applyProtection="1" pivotButton="0" quotePrefix="0" xfId="0">
      <protection locked="0" hidden="0"/>
    </xf>
    <xf numFmtId="0" fontId="0" fillId="0" borderId="10" applyProtection="1" pivotButton="0" quotePrefix="0" xfId="0">
      <protection locked="0" hidden="0"/>
    </xf>
    <xf numFmtId="0" fontId="2" fillId="0" borderId="19" applyAlignment="1" applyProtection="1" pivotButton="0" quotePrefix="0" xfId="1">
      <alignment horizontal="distributed" vertical="center"/>
      <protection locked="1" hidden="1"/>
    </xf>
    <xf numFmtId="0" fontId="2" fillId="0" borderId="0" applyAlignment="1" applyProtection="1" pivotButton="0" quotePrefix="0" xfId="1">
      <alignment horizontal="left" vertical="center"/>
      <protection locked="1" hidden="1"/>
    </xf>
    <xf numFmtId="0" fontId="3" fillId="0" borderId="5" applyAlignment="1" applyProtection="1" pivotButton="0" quotePrefix="0" xfId="1">
      <alignment horizontal="center" vertical="center"/>
      <protection locked="1" hidden="1"/>
    </xf>
    <xf numFmtId="0" fontId="21" fillId="0" borderId="13" applyAlignment="1" applyProtection="1" pivotButton="0" quotePrefix="0" xfId="1">
      <alignment horizontal="center" vertical="center"/>
      <protection locked="1" hidden="1"/>
    </xf>
    <xf numFmtId="0" fontId="3" fillId="0" borderId="5" applyAlignment="1" applyProtection="1" pivotButton="0" quotePrefix="0" xfId="1">
      <alignment horizontal="center" vertical="center" wrapText="1"/>
      <protection locked="1" hidden="1"/>
    </xf>
    <xf numFmtId="0" fontId="21" fillId="0" borderId="5" applyAlignment="1" applyProtection="1" pivotButton="0" quotePrefix="0" xfId="1">
      <alignment vertical="center" wrapText="1"/>
      <protection locked="1" hidden="1"/>
    </xf>
    <xf numFmtId="0" fontId="3" fillId="0" borderId="25" applyAlignment="1" applyProtection="1" pivotButton="0" quotePrefix="0" xfId="1">
      <alignment horizontal="distributed" vertical="center"/>
      <protection locked="1" hidden="1"/>
    </xf>
    <xf numFmtId="0" fontId="2" fillId="0" borderId="0" applyAlignment="1" applyProtection="1" pivotButton="0" quotePrefix="0" xfId="1">
      <alignment vertical="center"/>
      <protection locked="1" hidden="1"/>
    </xf>
    <xf numFmtId="0" fontId="3" fillId="0" borderId="25" applyAlignment="1" applyProtection="1" pivotButton="0" quotePrefix="0" xfId="1">
      <alignment horizontal="distributed" vertical="distributed" wrapText="1"/>
      <protection locked="1" hidden="1"/>
    </xf>
    <xf numFmtId="0" fontId="21" fillId="0" borderId="5" applyAlignment="1" applyProtection="1" pivotButton="0" quotePrefix="0" xfId="1">
      <alignment horizontal="distributed" vertical="center"/>
      <protection locked="1" hidden="1"/>
    </xf>
    <xf numFmtId="0" fontId="5" fillId="0" borderId="5" applyAlignment="1" pivotButton="0" quotePrefix="0" xfId="0">
      <alignment horizontal="left" vertical="center" wrapText="1"/>
    </xf>
    <xf numFmtId="0" fontId="5" fillId="0" borderId="5" applyAlignment="1" pivotButton="0" quotePrefix="0" xfId="0">
      <alignment horizontal="left" vertical="center" shrinkToFit="1"/>
    </xf>
    <xf numFmtId="0" fontId="6" fillId="0" borderId="5" applyAlignment="1" pivotButton="0" quotePrefix="0" xfId="0">
      <alignment horizontal="left" vertical="center" wrapText="1"/>
    </xf>
    <xf numFmtId="0" fontId="6" fillId="0" borderId="5" applyAlignment="1" pivotButton="0" quotePrefix="0" xfId="0">
      <alignment horizontal="left" vertical="center" shrinkToFit="1"/>
    </xf>
    <xf numFmtId="0" fontId="72" fillId="0" borderId="5" applyAlignment="1" pivotButton="0" quotePrefix="0" xfId="0">
      <alignment horizontal="left" vertical="center" shrinkToFit="1"/>
    </xf>
    <xf numFmtId="0" fontId="6" fillId="0" borderId="5" applyAlignment="1" pivotButton="0" quotePrefix="0" xfId="0">
      <alignment horizontal="left" vertical="justify" wrapText="1"/>
    </xf>
    <xf numFmtId="0" fontId="26" fillId="0" borderId="25"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43" applyAlignment="1" pivotButton="0" quotePrefix="0" xfId="0">
      <alignment horizontal="right" vertical="center"/>
    </xf>
    <xf numFmtId="0" fontId="0" fillId="0" borderId="43" pivotButton="0" quotePrefix="0" xfId="0"/>
    <xf numFmtId="173" fontId="30" fillId="0" borderId="48" applyAlignment="1" pivotButton="0" quotePrefix="0" xfId="0">
      <alignment horizontal="center" vertical="center"/>
    </xf>
    <xf numFmtId="0" fontId="0" fillId="0" borderId="37" pivotButton="0" quotePrefix="0" xfId="0"/>
    <xf numFmtId="0" fontId="0" fillId="0" borderId="46" pivotButton="0" quotePrefix="0" xfId="0"/>
    <xf numFmtId="0" fontId="0" fillId="0" borderId="48" pivotButton="0" quotePrefix="0" xfId="0"/>
    <xf numFmtId="0" fontId="6" fillId="0" borderId="45" applyAlignment="1" pivotButton="0" quotePrefix="0" xfId="0">
      <alignment horizontal="distributed" vertical="center"/>
    </xf>
    <xf numFmtId="0" fontId="0" fillId="0" borderId="45" pivotButton="0" quotePrefix="0" xfId="0"/>
    <xf numFmtId="0" fontId="6" fillId="0" borderId="195" applyAlignment="1" pivotButton="0" quotePrefix="0" xfId="0">
      <alignment horizontal="distributed" vertical="center" wrapText="1"/>
    </xf>
    <xf numFmtId="0" fontId="5" fillId="0" borderId="0" applyAlignment="1" pivotButton="0" quotePrefix="0" xfId="0">
      <alignment horizontal="center" vertical="center"/>
    </xf>
    <xf numFmtId="0" fontId="6" fillId="0" borderId="193" applyAlignment="1" pivotButton="0" quotePrefix="0" xfId="0">
      <alignment horizontal="center" vertical="distributed" textRotation="255"/>
    </xf>
    <xf numFmtId="0" fontId="0" fillId="0" borderId="38" pivotButton="0" quotePrefix="0" xfId="0"/>
    <xf numFmtId="0" fontId="30" fillId="0" borderId="186" applyAlignment="1" pivotButton="0" quotePrefix="0" xfId="0">
      <alignment horizontal="left" vertical="top" wrapText="1"/>
    </xf>
    <xf numFmtId="0" fontId="0" fillId="0" borderId="189" pivotButton="0" quotePrefix="0" xfId="0"/>
    <xf numFmtId="0" fontId="0" fillId="0" borderId="186" pivotButton="0" quotePrefix="0" xfId="0"/>
    <xf numFmtId="0" fontId="30" fillId="0" borderId="188" applyAlignment="1" pivotButton="0" quotePrefix="0" xfId="0">
      <alignment horizontal="distributed" vertical="center"/>
    </xf>
    <xf numFmtId="0" fontId="0" fillId="0" borderId="197" pivotButton="0" quotePrefix="0" xfId="0"/>
    <xf numFmtId="0" fontId="30" fillId="0" borderId="16" applyAlignment="1" pivotButton="0" quotePrefix="0" xfId="0">
      <alignment horizontal="left" vertical="top"/>
    </xf>
    <xf numFmtId="0" fontId="0" fillId="0" borderId="0" pivotButton="0" quotePrefix="0" xfId="0"/>
    <xf numFmtId="173" fontId="30" fillId="0" borderId="10" applyAlignment="1" pivotButton="0" quotePrefix="0" xfId="0">
      <alignment horizontal="distributed" vertical="center"/>
    </xf>
    <xf numFmtId="0" fontId="30" fillId="0" borderId="18" applyAlignment="1" pivotButton="0" quotePrefix="0" xfId="0">
      <alignment horizontal="left" vertical="top" wrapText="1"/>
    </xf>
    <xf numFmtId="0" fontId="30" fillId="0" borderId="20" applyAlignment="1" pivotButton="0" quotePrefix="0" xfId="0">
      <alignment horizontal="center" vertical="center"/>
    </xf>
    <xf numFmtId="0" fontId="30" fillId="0" borderId="5" applyAlignment="1" pivotButton="0" quotePrefix="0" xfId="0">
      <alignment horizontal="left" vertical="center"/>
    </xf>
    <xf numFmtId="0" fontId="30" fillId="0" borderId="187" applyAlignment="1" pivotButton="0" quotePrefix="0" xfId="0">
      <alignment horizontal="left" vertical="center"/>
    </xf>
    <xf numFmtId="0" fontId="0" fillId="0" borderId="200" pivotButton="0" quotePrefix="0" xfId="0"/>
    <xf numFmtId="0" fontId="0" fillId="0" borderId="199" pivotButton="0" quotePrefix="0" xfId="0"/>
    <xf numFmtId="0" fontId="30" fillId="0" borderId="14" applyAlignment="1" pivotButton="0" quotePrefix="0" xfId="0">
      <alignment horizontal="left" vertical="center"/>
    </xf>
    <xf numFmtId="0" fontId="30" fillId="0" borderId="11" applyAlignment="1" pivotButton="0" quotePrefix="0" xfId="0">
      <alignment horizontal="center" vertical="center"/>
    </xf>
    <xf numFmtId="0" fontId="9" fillId="0" borderId="0" applyAlignment="1" pivotButton="0" quotePrefix="0" xfId="0">
      <alignment horizontal="center" vertical="center"/>
    </xf>
    <xf numFmtId="0" fontId="30" fillId="0" borderId="9" applyAlignment="1" pivotButton="0" quotePrefix="0" xfId="0">
      <alignment horizontal="center" vertical="center"/>
    </xf>
    <xf numFmtId="0" fontId="30" fillId="0" borderId="188" applyAlignment="1" pivotButton="0" quotePrefix="0" xfId="0">
      <alignment horizontal="center" vertical="center"/>
    </xf>
    <xf numFmtId="0" fontId="0" fillId="0" borderId="198" pivotButton="0" quotePrefix="0" xfId="0"/>
    <xf numFmtId="0" fontId="30" fillId="0" borderId="5" applyAlignment="1" pivotButton="0" quotePrefix="0" xfId="0">
      <alignment horizontal="center" vertical="center"/>
    </xf>
    <xf numFmtId="0" fontId="30" fillId="0" borderId="188" applyAlignment="1" pivotButton="0" quotePrefix="0" xfId="0">
      <alignment horizontal="left" vertical="center"/>
    </xf>
    <xf numFmtId="0" fontId="30" fillId="0" borderId="16" applyAlignment="1" pivotButton="0" quotePrefix="0" xfId="0">
      <alignment horizontal="left" vertical="top" wrapText="1"/>
    </xf>
    <xf numFmtId="0" fontId="30" fillId="0" borderId="196" applyAlignment="1" pivotButton="0" quotePrefix="0" xfId="0">
      <alignment horizontal="distributed" vertical="center"/>
    </xf>
    <xf numFmtId="0" fontId="0" fillId="0" borderId="185" pivotButton="0" quotePrefix="0" xfId="0"/>
    <xf numFmtId="0" fontId="30" fillId="0" borderId="25" applyAlignment="1" pivotButton="0" quotePrefix="0" xfId="0">
      <alignment horizontal="distributed" vertical="center"/>
    </xf>
    <xf numFmtId="0" fontId="30" fillId="0" borderId="187" applyAlignment="1" pivotButton="0" quotePrefix="0" xfId="0">
      <alignment horizontal="distributed" vertical="center"/>
    </xf>
    <xf numFmtId="0" fontId="5" fillId="0" borderId="0" applyAlignment="1" pivotButton="0" quotePrefix="0" xfId="0">
      <alignment horizontal="left" vertical="center" wrapText="1"/>
    </xf>
    <xf numFmtId="0" fontId="30" fillId="0" borderId="0" applyAlignment="1" pivotButton="0" quotePrefix="0" xfId="0">
      <alignment horizontal="center" vertical="top"/>
    </xf>
    <xf numFmtId="0" fontId="5" fillId="0" borderId="183" applyAlignment="1" pivotButton="0" quotePrefix="0" xfId="0">
      <alignment horizontal="center" vertical="center"/>
    </xf>
    <xf numFmtId="0" fontId="0" fillId="0" borderId="183" pivotButton="0" quotePrefix="0" xfId="0"/>
    <xf numFmtId="0" fontId="30" fillId="0" borderId="0" applyAlignment="1" pivotButton="0" quotePrefix="0" xfId="0">
      <alignment horizontal="left" vertical="top"/>
    </xf>
    <xf numFmtId="0" fontId="30" fillId="0" borderId="0" applyAlignment="1" pivotButton="0" quotePrefix="0" xfId="0">
      <alignment horizontal="left" vertical="center" wrapText="1"/>
    </xf>
    <xf numFmtId="170" fontId="5" fillId="0" borderId="0" applyAlignment="1" pivotButton="0" quotePrefix="0" xfId="0">
      <alignment horizontal="left" vertical="center"/>
    </xf>
    <xf numFmtId="0" fontId="101" fillId="0" borderId="184" applyAlignment="1" pivotButton="0" quotePrefix="0" xfId="0">
      <alignment horizontal="center" vertical="center"/>
    </xf>
    <xf numFmtId="0" fontId="30" fillId="0" borderId="0" applyAlignment="1" pivotButton="0" quotePrefix="0" xfId="0">
      <alignment horizontal="center" vertical="center"/>
    </xf>
    <xf numFmtId="0" fontId="7" fillId="0" borderId="0" applyAlignment="1" applyProtection="1" pivotButton="0" quotePrefix="0" xfId="0">
      <alignment horizontal="left" vertical="center"/>
      <protection locked="1" hidden="1"/>
    </xf>
    <xf numFmtId="0" fontId="7" fillId="0" borderId="0" applyAlignment="1" applyProtection="1" pivotButton="0" quotePrefix="0" xfId="0">
      <alignment horizontal="center" vertical="center"/>
      <protection locked="1" hidden="1"/>
    </xf>
    <xf numFmtId="0" fontId="7" fillId="0" borderId="0" applyAlignment="1" applyProtection="1" pivotButton="0" quotePrefix="0" xfId="0">
      <alignment horizontal="left" vertical="distributed" wrapText="1"/>
      <protection locked="1" hidden="1"/>
    </xf>
    <xf numFmtId="0" fontId="7" fillId="0" borderId="0" applyAlignment="1" applyProtection="1" pivotButton="0" quotePrefix="0" xfId="0">
      <alignment horizontal="left" vertical="center" wrapText="1"/>
      <protection locked="1" hidden="1"/>
    </xf>
    <xf numFmtId="0" fontId="7" fillId="0" borderId="0" applyAlignment="1" applyProtection="1" pivotButton="0" quotePrefix="0" xfId="0">
      <alignment horizontal="distributed" vertical="center"/>
      <protection locked="1" hidden="1"/>
    </xf>
    <xf numFmtId="0" fontId="11" fillId="0" borderId="0" applyAlignment="1" applyProtection="1" pivotButton="0" quotePrefix="0" xfId="0">
      <alignment horizontal="distributed" vertical="center"/>
      <protection locked="1" hidden="1"/>
    </xf>
    <xf numFmtId="0" fontId="17" fillId="0" borderId="0" applyAlignment="1" applyProtection="1" pivotButton="0" quotePrefix="0" xfId="0">
      <alignment horizontal="left" vertical="distributed" wrapText="1"/>
      <protection locked="1" hidden="1"/>
    </xf>
    <xf numFmtId="0" fontId="13" fillId="0" borderId="0" applyAlignment="1" applyProtection="1" pivotButton="0" quotePrefix="0" xfId="0">
      <alignment horizontal="distributed" vertical="center"/>
      <protection locked="1" hidden="1"/>
    </xf>
    <xf numFmtId="0" fontId="19" fillId="0" borderId="0" applyAlignment="1" applyProtection="1" pivotButton="0" quotePrefix="0" xfId="0">
      <alignment horizontal="center" vertical="center"/>
      <protection locked="1" hidden="1"/>
    </xf>
    <xf numFmtId="173" fontId="26" fillId="0" borderId="5" applyAlignment="1" pivotButton="0" quotePrefix="0" xfId="0">
      <alignment horizontal="distributed" vertical="center"/>
    </xf>
    <xf numFmtId="0" fontId="27" fillId="0" borderId="61" applyAlignment="1" pivotButton="0" quotePrefix="0" xfId="0">
      <alignment horizontal="distributed" vertical="center"/>
    </xf>
    <xf numFmtId="0" fontId="27" fillId="0" borderId="61" applyAlignment="1" pivotButton="0" quotePrefix="0" xfId="0">
      <alignment horizontal="center" vertical="distributed" textRotation="255"/>
    </xf>
    <xf numFmtId="0" fontId="0" fillId="0" borderId="28" pivotButton="0" quotePrefix="0" xfId="0"/>
    <xf numFmtId="0" fontId="0" fillId="0" borderId="66" pivotButton="0" quotePrefix="0" xfId="0"/>
    <xf numFmtId="0" fontId="31" fillId="0" borderId="50" applyAlignment="1" pivotButton="0" quotePrefix="0" xfId="0">
      <alignment horizontal="left" vertical="top" wrapText="1"/>
    </xf>
    <xf numFmtId="0" fontId="0" fillId="0" borderId="50" pivotButton="0" quotePrefix="0" xfId="0"/>
    <xf numFmtId="0" fontId="68" fillId="0" borderId="5" applyAlignment="1" pivotButton="0" quotePrefix="0" xfId="0">
      <alignment horizontal="left" vertical="center" wrapText="1"/>
    </xf>
    <xf numFmtId="0" fontId="27" fillId="0" borderId="5" applyAlignment="1" pivotButton="0" quotePrefix="0" xfId="0">
      <alignment horizontal="distributed" vertical="center"/>
    </xf>
    <xf numFmtId="0" fontId="31" fillId="0" borderId="62" applyAlignment="1" pivotButton="0" quotePrefix="0" xfId="0">
      <alignment horizontal="left" vertical="top" wrapText="1"/>
    </xf>
    <xf numFmtId="0" fontId="0" fillId="0" borderId="62" pivotButton="0" quotePrefix="0" xfId="0"/>
    <xf numFmtId="0" fontId="27" fillId="0" borderId="80" applyAlignment="1" pivotButton="0" quotePrefix="0" xfId="0">
      <alignment horizontal="distributed" vertical="center"/>
    </xf>
    <xf numFmtId="0" fontId="0" fillId="0" borderId="58" pivotButton="0" quotePrefix="0" xfId="0"/>
    <xf numFmtId="0" fontId="0" fillId="0" borderId="75" pivotButton="0" quotePrefix="0" xfId="0"/>
    <xf numFmtId="0" fontId="31" fillId="0" borderId="61" applyAlignment="1" pivotButton="0" quotePrefix="0" xfId="0">
      <alignment horizontal="center" vertical="center" wrapText="1"/>
    </xf>
    <xf numFmtId="164" fontId="31" fillId="0" borderId="0" applyAlignment="1" pivotButton="0" quotePrefix="0" xfId="0">
      <alignment horizontal="center" vertical="top" wrapText="1"/>
    </xf>
    <xf numFmtId="0" fontId="68" fillId="0" borderId="0" applyAlignment="1" pivotButton="0" quotePrefix="0" xfId="0">
      <alignment horizontal="left" vertical="top" wrapText="1"/>
    </xf>
    <xf numFmtId="0" fontId="27" fillId="0" borderId="204" applyAlignment="1" applyProtection="1" pivotButton="0" quotePrefix="0" xfId="0">
      <alignment horizontal="center" vertical="center" wrapText="1"/>
      <protection locked="1" hidden="1"/>
    </xf>
    <xf numFmtId="0" fontId="0" fillId="0" borderId="206" applyProtection="1" pivotButton="0" quotePrefix="0" xfId="0">
      <protection locked="1" hidden="1"/>
    </xf>
    <xf numFmtId="0" fontId="0" fillId="0" borderId="51" applyProtection="1" pivotButton="0" quotePrefix="0" xfId="0">
      <protection locked="1" hidden="1"/>
    </xf>
    <xf numFmtId="0" fontId="5" fillId="0" borderId="58" applyAlignment="1" applyProtection="1" pivotButton="0" quotePrefix="0" xfId="0">
      <alignment horizontal="left" vertical="top" wrapText="1"/>
      <protection locked="1" hidden="1"/>
    </xf>
    <xf numFmtId="0" fontId="0" fillId="0" borderId="58" applyProtection="1" pivotButton="0" quotePrefix="0" xfId="0">
      <protection locked="1" hidden="1"/>
    </xf>
    <xf numFmtId="0" fontId="6" fillId="0" borderId="201" applyAlignment="1" applyProtection="1" pivotButton="0" quotePrefix="0" xfId="0">
      <alignment horizontal="left" vertical="center" wrapText="1"/>
      <protection locked="1" hidden="1"/>
    </xf>
    <xf numFmtId="0" fontId="0" fillId="0" borderId="50" applyProtection="1" pivotButton="0" quotePrefix="0" xfId="0">
      <protection locked="1" hidden="1"/>
    </xf>
    <xf numFmtId="0" fontId="6" fillId="0" borderId="50" applyAlignment="1" applyProtection="1" pivotButton="0" quotePrefix="0" xfId="0">
      <alignment horizontal="center" vertical="center" wrapText="1"/>
      <protection locked="1" hidden="1"/>
    </xf>
    <xf numFmtId="0" fontId="30" fillId="0" borderId="207" applyAlignment="1" applyProtection="1" pivotButton="0" quotePrefix="0" xfId="0">
      <alignment horizontal="left" vertical="center" wrapText="1"/>
      <protection locked="1" hidden="1"/>
    </xf>
    <xf numFmtId="0" fontId="0" fillId="0" borderId="208" applyProtection="1" pivotButton="0" quotePrefix="0" xfId="0">
      <protection locked="1" hidden="1"/>
    </xf>
    <xf numFmtId="0" fontId="0" fillId="0" borderId="28" applyProtection="1" pivotButton="0" quotePrefix="0" xfId="0">
      <protection locked="1" hidden="1"/>
    </xf>
    <xf numFmtId="0" fontId="5" fillId="0" borderId="63" applyAlignment="1" applyProtection="1" pivotButton="0" quotePrefix="0" xfId="0">
      <alignment horizontal="left" vertical="top" wrapText="1"/>
      <protection locked="1" hidden="1"/>
    </xf>
    <xf numFmtId="0" fontId="0" fillId="0" borderId="60" applyProtection="1" pivotButton="0" quotePrefix="0" xfId="0">
      <protection locked="1" hidden="1"/>
    </xf>
    <xf numFmtId="0" fontId="6" fillId="0" borderId="202" applyAlignment="1" applyProtection="1" pivotButton="0" quotePrefix="0" xfId="0">
      <alignment horizontal="left" vertical="center" wrapText="1"/>
      <protection locked="1" hidden="1"/>
    </xf>
    <xf numFmtId="0" fontId="0" fillId="0" borderId="65" applyProtection="1" pivotButton="0" quotePrefix="0" xfId="0">
      <protection locked="1" hidden="1"/>
    </xf>
    <xf numFmtId="0" fontId="7" fillId="0" borderId="63" applyAlignment="1" applyProtection="1" pivotButton="0" quotePrefix="0" xfId="0">
      <alignment horizontal="distributed" vertical="center" wrapText="1" justifyLastLine="1"/>
      <protection locked="1" hidden="1"/>
    </xf>
    <xf numFmtId="0" fontId="6" fillId="0" borderId="47" applyAlignment="1" applyProtection="1" pivotButton="0" quotePrefix="0" xfId="0">
      <alignment horizontal="center" vertical="center" wrapText="1"/>
      <protection locked="1" hidden="1"/>
    </xf>
    <xf numFmtId="0" fontId="0" fillId="0" borderId="46" applyProtection="1" pivotButton="0" quotePrefix="0" xfId="0">
      <protection locked="1" hidden="1"/>
    </xf>
    <xf numFmtId="0" fontId="0" fillId="0" borderId="47" applyProtection="1" pivotButton="0" quotePrefix="0" xfId="0">
      <protection locked="1" hidden="1"/>
    </xf>
    <xf numFmtId="0" fontId="10" fillId="0" borderId="0" applyAlignment="1" pivotButton="0" quotePrefix="0" xfId="0">
      <alignment horizontal="left" vertical="center"/>
    </xf>
    <xf numFmtId="0" fontId="10" fillId="0" borderId="0" applyAlignment="1" pivotButton="0" quotePrefix="0" xfId="0">
      <alignment horizontal="left" vertical="distributed" wrapText="1"/>
    </xf>
    <xf numFmtId="0" fontId="40" fillId="0" borderId="0" applyAlignment="1" pivotButton="0" quotePrefix="0" xfId="0">
      <alignment vertical="center"/>
    </xf>
    <xf numFmtId="0" fontId="7" fillId="0" borderId="0" applyAlignment="1" pivotButton="0" quotePrefix="0" xfId="0">
      <alignment horizontal="left" vertical="center"/>
    </xf>
    <xf numFmtId="0" fontId="40" fillId="0" borderId="0" applyAlignment="1" pivotButton="0" quotePrefix="0" xfId="0">
      <alignment vertical="distributed"/>
    </xf>
    <xf numFmtId="0" fontId="6" fillId="0" borderId="0" applyAlignment="1" pivotButton="0" quotePrefix="0" xfId="0">
      <alignment horizontal="left" vertical="center"/>
    </xf>
    <xf numFmtId="0" fontId="18" fillId="0" borderId="0" applyAlignment="1" pivotButton="0" quotePrefix="0" xfId="0">
      <alignment horizontal="center" vertical="center"/>
    </xf>
    <xf numFmtId="0" fontId="16" fillId="0" borderId="0" applyAlignment="1" pivotButton="0" quotePrefix="0" xfId="0">
      <alignment horizontal="center" vertical="center"/>
    </xf>
    <xf numFmtId="0" fontId="6" fillId="0" borderId="201" applyAlignment="1" pivotButton="0" quotePrefix="0" xfId="0">
      <alignment vertical="center" wrapText="1"/>
    </xf>
    <xf numFmtId="0" fontId="5" fillId="0" borderId="5" applyAlignment="1" pivotButton="0" quotePrefix="0" xfId="0">
      <alignment horizontal="distributed" vertical="center" wrapText="1"/>
    </xf>
    <xf numFmtId="0" fontId="6" fillId="0" borderId="13" applyAlignment="1" pivotButton="0" quotePrefix="0" xfId="0">
      <alignment horizontal="left" vertical="center" wrapText="1"/>
    </xf>
    <xf numFmtId="0" fontId="6" fillId="0" borderId="201" applyAlignment="1" pivotButton="0" quotePrefix="0" xfId="0">
      <alignment horizontal="justify" vertical="center" wrapText="1"/>
    </xf>
    <xf numFmtId="0" fontId="6" fillId="0" borderId="209" applyAlignment="1" pivotButton="0" quotePrefix="0" xfId="0">
      <alignment horizontal="justify" vertical="center" wrapText="1"/>
    </xf>
    <xf numFmtId="0" fontId="0" fillId="0" borderId="210" pivotButton="0" quotePrefix="0" xfId="0"/>
    <xf numFmtId="0" fontId="0" fillId="0" borderId="211" pivotButton="0" quotePrefix="0" xfId="0"/>
    <xf numFmtId="0" fontId="5" fillId="0" borderId="58" applyAlignment="1" pivotButton="0" quotePrefix="0" xfId="0">
      <alignment horizontal="left" vertical="center"/>
    </xf>
    <xf numFmtId="0" fontId="7" fillId="0" borderId="74" applyAlignment="1" pivotButton="0" quotePrefix="0" xfId="0">
      <alignment horizontal="center" vertical="center" wrapText="1"/>
    </xf>
    <xf numFmtId="0" fontId="6" fillId="0" borderId="58" applyAlignment="1" pivotButton="0" quotePrefix="0" xfId="0">
      <alignment horizontal="left" vertical="center" wrapText="1"/>
    </xf>
    <xf numFmtId="0" fontId="5" fillId="0" borderId="61" applyAlignment="1" pivotButton="0" quotePrefix="0" xfId="0">
      <alignment horizontal="distributed" vertical="center" wrapText="1"/>
    </xf>
    <xf numFmtId="0" fontId="0" fillId="0" borderId="190" pivotButton="0" quotePrefix="0" xfId="0"/>
    <xf numFmtId="0" fontId="5" fillId="0" borderId="0" applyAlignment="1" pivotButton="0" quotePrefix="0" xfId="0">
      <alignment horizontal="left" vertical="center"/>
    </xf>
    <xf numFmtId="0" fontId="5" fillId="11" borderId="5" applyAlignment="1" pivotButton="0" quotePrefix="0" xfId="0">
      <alignment horizontal="center" vertical="center" wrapText="1"/>
    </xf>
    <xf numFmtId="0" fontId="66" fillId="13" borderId="25" applyAlignment="1" pivotButton="0" quotePrefix="0" xfId="0">
      <alignment horizontal="left" vertical="center" wrapText="1"/>
    </xf>
    <xf numFmtId="0" fontId="5" fillId="0" borderId="68" applyAlignment="1" pivotButton="0" quotePrefix="0" xfId="0">
      <alignment horizontal="left" vertical="center" wrapText="1"/>
    </xf>
    <xf numFmtId="0" fontId="0" fillId="0" borderId="0" applyAlignment="1" pivotButton="0" quotePrefix="0" xfId="0">
      <alignment vertical="center"/>
    </xf>
    <xf numFmtId="0" fontId="0" fillId="0" borderId="76" pivotButton="0" quotePrefix="0" xfId="0"/>
    <xf numFmtId="0" fontId="0" fillId="0" borderId="109" pivotButton="0" quotePrefix="0" xfId="0"/>
    <xf numFmtId="0" fontId="59" fillId="0" borderId="5" applyAlignment="1" pivotButton="0" quotePrefix="0" xfId="0">
      <alignment horizontal="distributed" vertical="center" wrapText="1"/>
    </xf>
    <xf numFmtId="0" fontId="27" fillId="11" borderId="25" applyAlignment="1" pivotButton="0" quotePrefix="0" xfId="0">
      <alignment horizontal="center" vertical="center" wrapText="1"/>
    </xf>
    <xf numFmtId="0" fontId="24" fillId="11" borderId="5" applyAlignment="1" pivotButton="0" quotePrefix="0" xfId="0">
      <alignment horizontal="center" vertical="center" wrapText="1"/>
    </xf>
    <xf numFmtId="0" fontId="60" fillId="0" borderId="214" applyAlignment="1" pivotButton="0" quotePrefix="0" xfId="0">
      <alignment horizontal="left" vertical="center" wrapText="1"/>
    </xf>
    <xf numFmtId="0" fontId="24" fillId="11" borderId="11" applyAlignment="1" pivotButton="0" quotePrefix="0" xfId="0">
      <alignment horizontal="center" vertical="center" wrapText="1"/>
    </xf>
    <xf numFmtId="0" fontId="26" fillId="5" borderId="5" applyAlignment="1" pivotButton="0" quotePrefix="0" xfId="0">
      <alignment horizontal="center" vertical="center" wrapText="1"/>
    </xf>
    <xf numFmtId="0" fontId="5" fillId="0" borderId="98" applyAlignment="1" pivotButton="0" quotePrefix="0" xfId="0">
      <alignment horizontal="left" vertical="center" wrapText="1"/>
    </xf>
    <xf numFmtId="0" fontId="0" fillId="0" borderId="203" pivotButton="0" quotePrefix="0" xfId="0"/>
    <xf numFmtId="0" fontId="0" fillId="0" borderId="65" pivotButton="0" quotePrefix="0" xfId="0"/>
    <xf numFmtId="0" fontId="5" fillId="11" borderId="25" applyAlignment="1" pivotButton="0" quotePrefix="0" xfId="0">
      <alignment horizontal="left" vertical="center" wrapText="1"/>
    </xf>
    <xf numFmtId="0" fontId="31" fillId="14" borderId="5" applyAlignment="1" pivotButton="0" quotePrefix="0" xfId="0">
      <alignment horizontal="center" vertical="center" wrapText="1"/>
    </xf>
    <xf numFmtId="0" fontId="107" fillId="12" borderId="190" applyAlignment="1" pivotButton="0" quotePrefix="0" xfId="0">
      <alignment horizontal="center" vertical="center" wrapText="1"/>
    </xf>
    <xf numFmtId="0" fontId="5" fillId="0" borderId="25" applyAlignment="1" pivotButton="0" quotePrefix="0" xfId="0">
      <alignment horizontal="left" vertical="center" wrapText="1"/>
    </xf>
    <xf numFmtId="0" fontId="65" fillId="0" borderId="212" applyAlignment="1" pivotButton="0" quotePrefix="0" xfId="0">
      <alignment horizontal="left" wrapText="1"/>
    </xf>
    <xf numFmtId="0" fontId="0" fillId="0" borderId="213" pivotButton="0" quotePrefix="0" xfId="0"/>
    <xf numFmtId="0" fontId="0" fillId="0" borderId="47" pivotButton="0" quotePrefix="0" xfId="0"/>
    <xf numFmtId="0" fontId="109" fillId="5" borderId="215" applyAlignment="1" pivotButton="0" quotePrefix="0" xfId="0">
      <alignment horizontal="left" vertical="center" wrapText="1"/>
    </xf>
    <xf numFmtId="0" fontId="0" fillId="0" borderId="82" pivotButton="0" quotePrefix="0" xfId="0"/>
    <xf numFmtId="0" fontId="0" fillId="0" borderId="81" pivotButton="0" quotePrefix="0" xfId="0"/>
    <xf numFmtId="0" fontId="63" fillId="13" borderId="29" applyAlignment="1" pivotButton="0" quotePrefix="0" xfId="0">
      <alignment horizontal="left" vertical="center" wrapText="1"/>
    </xf>
    <xf numFmtId="0" fontId="5" fillId="0" borderId="11" applyAlignment="1" pivotButton="0" quotePrefix="0" xfId="0">
      <alignment horizontal="center" vertical="center" wrapText="1"/>
    </xf>
    <xf numFmtId="0" fontId="5" fillId="11" borderId="11" applyAlignment="1" pivotButton="0" quotePrefix="0" xfId="0">
      <alignment horizontal="center" vertical="center" wrapText="1"/>
    </xf>
    <xf numFmtId="0" fontId="60" fillId="0" borderId="25" applyAlignment="1" pivotButton="0" quotePrefix="0" xfId="0">
      <alignment horizontal="left" vertical="center" wrapText="1"/>
    </xf>
    <xf numFmtId="0" fontId="60" fillId="0" borderId="29" applyAlignment="1" pivotButton="0" quotePrefix="0" xfId="0">
      <alignment horizontal="left" vertical="center" wrapText="1"/>
    </xf>
    <xf numFmtId="0" fontId="72" fillId="11" borderId="11" applyAlignment="1" pivotButton="0" quotePrefix="0" xfId="0">
      <alignment horizontal="left" vertical="center" wrapText="1"/>
    </xf>
    <xf numFmtId="0" fontId="5" fillId="11" borderId="29" applyAlignment="1" pivotButton="0" quotePrefix="0" xfId="0">
      <alignment horizontal="center" vertical="center" wrapText="1"/>
    </xf>
    <xf numFmtId="0" fontId="31" fillId="13" borderId="11" applyAlignment="1" pivotButton="0" quotePrefix="0" xfId="0">
      <alignment horizontal="left" vertical="top" wrapText="1"/>
    </xf>
    <xf numFmtId="0" fontId="5" fillId="0" borderId="190" applyAlignment="1" pivotButton="0" quotePrefix="0" xfId="0">
      <alignment horizontal="left" vertical="center" wrapText="1"/>
    </xf>
    <xf numFmtId="0" fontId="49" fillId="11" borderId="11" applyAlignment="1" pivotButton="0" quotePrefix="0" xfId="0">
      <alignment horizontal="left" wrapText="1"/>
    </xf>
    <xf numFmtId="0" fontId="58" fillId="5" borderId="10" applyAlignment="1" pivotButton="0" quotePrefix="0" xfId="0">
      <alignment horizontal="center" vertical="center" wrapText="1"/>
    </xf>
    <xf numFmtId="0" fontId="5" fillId="0" borderId="69" applyAlignment="1" pivotButton="0" quotePrefix="0" xfId="0">
      <alignment horizontal="center" vertical="center" wrapText="1"/>
    </xf>
    <xf numFmtId="0" fontId="0" fillId="0" borderId="216" pivotButton="0" quotePrefix="0" xfId="0"/>
    <xf numFmtId="0" fontId="5" fillId="0" borderId="11" applyAlignment="1" pivotButton="0" quotePrefix="0" xfId="0">
      <alignment horizontal="left" wrapText="1"/>
    </xf>
    <xf numFmtId="0" fontId="60" fillId="0" borderId="29" applyAlignment="1" pivotButton="0" quotePrefix="0" xfId="0">
      <alignment horizontal="left" vertical="center"/>
    </xf>
    <xf numFmtId="0" fontId="5" fillId="11" borderId="25" applyAlignment="1" pivotButton="0" quotePrefix="0" xfId="0">
      <alignment horizontal="center" vertical="center" wrapText="1"/>
    </xf>
    <xf numFmtId="0" fontId="5" fillId="0" borderId="29" applyAlignment="1" pivotButton="0" quotePrefix="0" xfId="0">
      <alignment horizontal="left" vertical="center" wrapText="1"/>
    </xf>
    <xf numFmtId="0" fontId="5" fillId="0" borderId="29" applyAlignment="1" pivotButton="0" quotePrefix="0" xfId="0">
      <alignment horizontal="left" vertical="top" wrapText="1"/>
    </xf>
    <xf numFmtId="0" fontId="5" fillId="0" borderId="224" applyAlignment="1" pivotButton="0" quotePrefix="0" xfId="0">
      <alignment horizontal="center" vertical="center" wrapText="1"/>
    </xf>
    <xf numFmtId="0" fontId="0" fillId="0" borderId="225" pivotButton="0" quotePrefix="0" xfId="0"/>
    <xf numFmtId="0" fontId="5" fillId="0" borderId="233" applyAlignment="1" pivotButton="0" quotePrefix="0" xfId="0">
      <alignment vertical="center" wrapText="1"/>
    </xf>
    <xf numFmtId="0" fontId="0" fillId="0" borderId="234" pivotButton="0" quotePrefix="0" xfId="0"/>
    <xf numFmtId="0" fontId="5" fillId="0" borderId="232" applyAlignment="1" pivotButton="0" quotePrefix="0" xfId="0">
      <alignment horizontal="justify" vertical="center" wrapText="1"/>
    </xf>
    <xf numFmtId="0" fontId="5" fillId="0" borderId="229" applyAlignment="1" pivotButton="0" quotePrefix="0" xfId="0">
      <alignment horizontal="justify" vertical="center" wrapText="1"/>
    </xf>
    <xf numFmtId="0" fontId="0" fillId="0" borderId="71" pivotButton="0" quotePrefix="0" xfId="0"/>
    <xf numFmtId="0" fontId="0" fillId="0" borderId="31" pivotButton="0" quotePrefix="0" xfId="0"/>
    <xf numFmtId="0" fontId="27" fillId="0" borderId="113" applyAlignment="1" pivotButton="0" quotePrefix="0" xfId="0">
      <alignment horizontal="center" vertical="center" wrapText="1"/>
    </xf>
    <xf numFmtId="0" fontId="0" fillId="0" borderId="85" pivotButton="0" quotePrefix="0" xfId="0"/>
    <xf numFmtId="0" fontId="0" fillId="0" borderId="84" pivotButton="0" quotePrefix="0" xfId="0"/>
    <xf numFmtId="0" fontId="5" fillId="0" borderId="226" applyAlignment="1" pivotButton="0" quotePrefix="0" xfId="0">
      <alignment horizontal="center" vertical="center" wrapText="1"/>
    </xf>
    <xf numFmtId="0" fontId="0" fillId="0" borderId="205" pivotButton="0" quotePrefix="0" xfId="0"/>
    <xf numFmtId="0" fontId="0" fillId="0" borderId="53" pivotButton="0" quotePrefix="0" xfId="0"/>
    <xf numFmtId="0" fontId="5" fillId="0" borderId="79" applyAlignment="1" pivotButton="0" quotePrefix="0" xfId="0">
      <alignment horizontal="justify" vertical="center" wrapText="1"/>
    </xf>
    <xf numFmtId="0" fontId="0" fillId="0" borderId="73" pivotButton="0" quotePrefix="0" xfId="0"/>
    <xf numFmtId="0" fontId="5" fillId="0" borderId="215" applyAlignment="1" pivotButton="0" quotePrefix="0" xfId="0">
      <alignment horizontal="center" vertical="center" wrapText="1"/>
    </xf>
    <xf numFmtId="0" fontId="0" fillId="0" borderId="78" pivotButton="0" quotePrefix="0" xfId="0"/>
    <xf numFmtId="0" fontId="5" fillId="0" borderId="221" applyAlignment="1" pivotButton="0" quotePrefix="0" xfId="0">
      <alignment horizontal="center" vertical="center" wrapText="1"/>
    </xf>
    <xf numFmtId="0" fontId="0" fillId="0" borderId="77" pivotButton="0" quotePrefix="0" xfId="0"/>
    <xf numFmtId="0" fontId="39" fillId="0" borderId="227" applyAlignment="1" pivotButton="0" quotePrefix="0" xfId="0">
      <alignment horizontal="center" vertical="center" wrapText="1"/>
    </xf>
    <xf numFmtId="0" fontId="0" fillId="0" borderId="228" pivotButton="0" quotePrefix="0" xfId="0"/>
    <xf numFmtId="0" fontId="0" fillId="0" borderId="220" pivotButton="0" quotePrefix="0" xfId="0"/>
    <xf numFmtId="0" fontId="5" fillId="0" borderId="217" applyAlignment="1" pivotButton="0" quotePrefix="0" xfId="0">
      <alignment horizontal="center" vertical="center" wrapText="1"/>
    </xf>
    <xf numFmtId="0" fontId="46" fillId="0" borderId="222" applyAlignment="1" pivotButton="0" quotePrefix="0" xfId="0">
      <alignment horizontal="center" vertical="center" wrapText="1"/>
    </xf>
    <xf numFmtId="174" fontId="5" fillId="0" borderId="218" applyAlignment="1" pivotButton="0" quotePrefix="0" xfId="0">
      <alignment horizontal="center" vertical="center" wrapText="1"/>
    </xf>
    <xf numFmtId="0" fontId="0" fillId="0" borderId="219" pivotButton="0" quotePrefix="0" xfId="0"/>
    <xf numFmtId="0" fontId="5" fillId="0" borderId="230" applyAlignment="1" pivotButton="0" quotePrefix="0" xfId="0">
      <alignment horizontal="justify" vertical="center" wrapText="1"/>
    </xf>
    <xf numFmtId="0" fontId="0" fillId="0" borderId="231" pivotButton="0" quotePrefix="0" xfId="0"/>
    <xf numFmtId="0" fontId="0" fillId="0" borderId="36" pivotButton="0" quotePrefix="0" xfId="0"/>
    <xf numFmtId="0" fontId="0" fillId="0" borderId="30" pivotButton="0" quotePrefix="0" xfId="0"/>
    <xf numFmtId="0" fontId="5" fillId="0" borderId="223" applyAlignment="1" pivotButton="0" quotePrefix="0" xfId="0">
      <alignment horizontal="center" vertical="center" wrapText="1"/>
    </xf>
    <xf numFmtId="0" fontId="54" fillId="0" borderId="0" applyAlignment="1" pivotButton="0" quotePrefix="0" xfId="0">
      <alignment horizontal="center" vertical="center"/>
    </xf>
    <xf numFmtId="0" fontId="53" fillId="0" borderId="0" applyAlignment="1" pivotButton="0" quotePrefix="0" xfId="0">
      <alignment horizontal="left" vertical="center"/>
    </xf>
    <xf numFmtId="0" fontId="11" fillId="0" borderId="0" applyAlignment="1" pivotButton="0" quotePrefix="0" xfId="0">
      <alignment horizontal="center" vertical="center"/>
    </xf>
    <xf numFmtId="0" fontId="7" fillId="0" borderId="0" applyAlignment="1" pivotButton="0" quotePrefix="0" xfId="0">
      <alignment horizontal="left" vertical="distributed" wrapText="1"/>
    </xf>
    <xf numFmtId="0" fontId="26" fillId="0" borderId="36" applyAlignment="1" pivotButton="0" quotePrefix="0" xfId="0">
      <alignment horizontal="center" vertical="center"/>
    </xf>
    <xf numFmtId="0" fontId="24" fillId="0" borderId="0" applyAlignment="1" pivotButton="0" quotePrefix="0" xfId="0">
      <alignment horizontal="left" vertical="distributed" wrapText="1"/>
    </xf>
    <xf numFmtId="0" fontId="24" fillId="0" borderId="0" applyAlignment="1" pivotButton="0" quotePrefix="0" xfId="0">
      <alignment horizontal="left" vertical="center"/>
    </xf>
    <xf numFmtId="0" fontId="30" fillId="0" borderId="5" applyAlignment="1" pivotButton="0" quotePrefix="0" xfId="0">
      <alignment horizontal="center" vertical="center" wrapText="1"/>
    </xf>
    <xf numFmtId="0" fontId="7" fillId="0" borderId="5" applyAlignment="1" pivotButton="0" quotePrefix="0" xfId="0">
      <alignment horizontal="center" vertical="center" wrapText="1"/>
    </xf>
    <xf numFmtId="0" fontId="7" fillId="0" borderId="0" applyAlignment="1" pivotButton="0" quotePrefix="0" xfId="0">
      <alignment horizontal="center" vertical="center"/>
    </xf>
    <xf numFmtId="0" fontId="7" fillId="0" borderId="5" applyAlignment="1" pivotButton="0" quotePrefix="0" xfId="0">
      <alignment vertical="center" wrapText="1"/>
    </xf>
    <xf numFmtId="0" fontId="72" fillId="0" borderId="113" applyAlignment="1" applyProtection="1" pivotButton="0" quotePrefix="0" xfId="0">
      <alignment horizontal="left" vertical="center" wrapText="1"/>
      <protection locked="1" hidden="1"/>
    </xf>
    <xf numFmtId="0" fontId="0" fillId="0" borderId="112" applyProtection="1" pivotButton="0" quotePrefix="0" xfId="0">
      <protection locked="1" hidden="1"/>
    </xf>
    <xf numFmtId="0" fontId="6" fillId="0" borderId="236" applyAlignment="1" applyProtection="1" pivotButton="0" quotePrefix="0" xfId="0">
      <alignment horizontal="left" vertical="center" wrapText="1"/>
      <protection locked="1" hidden="1"/>
    </xf>
    <xf numFmtId="0" fontId="0" fillId="0" borderId="37" applyProtection="1" pivotButton="0" quotePrefix="0" xfId="0">
      <protection locked="1" hidden="1"/>
    </xf>
    <xf numFmtId="0" fontId="11" fillId="0" borderId="240" applyAlignment="1" applyProtection="1" pivotButton="0" quotePrefix="0" xfId="0">
      <alignment horizontal="distributed" vertical="center" wrapText="1"/>
      <protection locked="1" hidden="1"/>
    </xf>
    <xf numFmtId="0" fontId="0" fillId="0" borderId="111" applyProtection="1" pivotButton="0" quotePrefix="0" xfId="0">
      <protection locked="1" hidden="1"/>
    </xf>
    <xf numFmtId="0" fontId="30" fillId="0" borderId="236" applyAlignment="1" applyProtection="1" pivotButton="0" quotePrefix="0" xfId="0">
      <alignment horizontal="justify" vertical="center" wrapText="1"/>
      <protection locked="1" hidden="1"/>
    </xf>
    <xf numFmtId="0" fontId="30" fillId="0" borderId="240" applyAlignment="1" applyProtection="1" pivotButton="0" quotePrefix="0" xfId="0">
      <alignment horizontal="center" vertical="center" wrapText="1"/>
      <protection locked="1" hidden="1"/>
    </xf>
    <xf numFmtId="0" fontId="11" fillId="0" borderId="240" applyAlignment="1" applyProtection="1" pivotButton="0" quotePrefix="0" xfId="0">
      <alignment horizontal="distributed" vertical="distributed" wrapText="1"/>
      <protection locked="1" hidden="1"/>
    </xf>
    <xf numFmtId="0" fontId="0" fillId="0" borderId="237" applyAlignment="1" applyProtection="1" pivotButton="0" quotePrefix="0" xfId="0">
      <alignment vertical="center" wrapText="1"/>
      <protection locked="1" hidden="1"/>
    </xf>
    <xf numFmtId="0" fontId="0" fillId="0" borderId="238" applyProtection="1" pivotButton="0" quotePrefix="0" xfId="0">
      <protection locked="1" hidden="1"/>
    </xf>
    <xf numFmtId="0" fontId="0" fillId="0" borderId="239" applyProtection="1" pivotButton="0" quotePrefix="0" xfId="0">
      <protection locked="1" hidden="1"/>
    </xf>
    <xf numFmtId="0" fontId="30" fillId="0" borderId="240" applyAlignment="1" applyProtection="1" pivotButton="0" quotePrefix="0" xfId="0">
      <alignment horizontal="distributed" vertical="center" wrapText="1"/>
      <protection locked="1" hidden="1"/>
    </xf>
    <xf numFmtId="0" fontId="11" fillId="0" borderId="113" applyAlignment="1" applyProtection="1" pivotButton="0" quotePrefix="0" xfId="0">
      <alignment horizontal="distributed" vertical="distributed" wrapText="1"/>
      <protection locked="1" hidden="1"/>
    </xf>
    <xf numFmtId="0" fontId="30" fillId="0" borderId="240" applyAlignment="1" applyProtection="1" pivotButton="0" quotePrefix="0" xfId="0">
      <alignment vertical="center" wrapText="1"/>
      <protection locked="1" hidden="1"/>
    </xf>
    <xf numFmtId="0" fontId="6" fillId="0" borderId="113" applyAlignment="1" applyProtection="1" pivotButton="0" quotePrefix="0" xfId="0">
      <alignment horizontal="left" vertical="center" wrapText="1"/>
      <protection locked="1" hidden="1"/>
    </xf>
    <xf numFmtId="0" fontId="6" fillId="0" borderId="113" applyAlignment="1" applyProtection="1" pivotButton="0" quotePrefix="0" xfId="0">
      <alignment vertical="center" wrapText="1"/>
      <protection locked="1" hidden="1"/>
    </xf>
    <xf numFmtId="0" fontId="0" fillId="0" borderId="85" applyProtection="1" pivotButton="0" quotePrefix="0" xfId="0">
      <protection locked="1" hidden="1"/>
    </xf>
    <xf numFmtId="0" fontId="0" fillId="0" borderId="84" applyProtection="1" pivotButton="0" quotePrefix="0" xfId="0">
      <protection locked="1" hidden="1"/>
    </xf>
    <xf numFmtId="0" fontId="9" fillId="0" borderId="113" applyAlignment="1" applyProtection="1" pivotButton="0" quotePrefix="0" xfId="0">
      <alignment horizontal="distributed" vertical="center" wrapText="1"/>
      <protection locked="1" hidden="1"/>
    </xf>
    <xf numFmtId="0" fontId="6" fillId="0" borderId="236" applyAlignment="1" applyProtection="1" pivotButton="0" quotePrefix="0" xfId="0">
      <alignment vertical="center" wrapText="1"/>
      <protection locked="1" hidden="1"/>
    </xf>
    <xf numFmtId="0" fontId="6" fillId="0" borderId="111" applyAlignment="1" applyProtection="1" pivotButton="0" quotePrefix="0" xfId="0">
      <alignment horizontal="left" vertical="center" wrapText="1"/>
      <protection locked="1" hidden="1"/>
    </xf>
    <xf numFmtId="0" fontId="6" fillId="0" borderId="236" applyAlignment="1" applyProtection="1" pivotButton="0" quotePrefix="0" xfId="0">
      <alignment horizontal="left" vertical="center" wrapText="1" indent="2"/>
      <protection locked="1" hidden="1"/>
    </xf>
    <xf numFmtId="0" fontId="30" fillId="0" borderId="113" applyAlignment="1" applyProtection="1" pivotButton="0" quotePrefix="0" xfId="0">
      <alignment horizontal="justify" vertical="center" wrapText="1"/>
      <protection locked="1" hidden="1"/>
    </xf>
    <xf numFmtId="0" fontId="30" fillId="0" borderId="240" applyAlignment="1" applyProtection="1" pivotButton="0" quotePrefix="0" xfId="0">
      <alignment horizontal="justify" vertical="center" wrapText="1"/>
      <protection locked="1" hidden="1"/>
    </xf>
    <xf numFmtId="0" fontId="6" fillId="0" borderId="237" applyAlignment="1" applyProtection="1" pivotButton="0" quotePrefix="0" xfId="0">
      <alignment vertical="center" wrapText="1"/>
      <protection locked="1" hidden="1"/>
    </xf>
    <xf numFmtId="0" fontId="10" fillId="0" borderId="237" applyAlignment="1" applyProtection="1" pivotButton="0" quotePrefix="0" xfId="0">
      <alignment horizontal="distributed" vertical="center" wrapText="1"/>
      <protection locked="1" hidden="1"/>
    </xf>
    <xf numFmtId="0" fontId="7" fillId="0" borderId="240" applyAlignment="1" applyProtection="1" pivotButton="0" quotePrefix="0" xfId="0">
      <alignment horizontal="center" vertical="center" wrapText="1"/>
      <protection locked="1" hidden="1"/>
    </xf>
    <xf numFmtId="0" fontId="43" fillId="0" borderId="27" applyAlignment="1" pivotButton="0" quotePrefix="0" xfId="0">
      <alignment vertical="center"/>
    </xf>
    <xf numFmtId="0" fontId="6" fillId="0" borderId="244" applyAlignment="1" pivotButton="0" quotePrefix="0" xfId="0">
      <alignment horizontal="center" vertical="center"/>
    </xf>
    <xf numFmtId="0" fontId="0" fillId="0" borderId="175" pivotButton="0" quotePrefix="0" xfId="0"/>
    <xf numFmtId="0" fontId="0" fillId="0" borderId="176" pivotButton="0" quotePrefix="0" xfId="0"/>
    <xf numFmtId="0" fontId="93" fillId="0" borderId="0" applyAlignment="1" pivotButton="0" quotePrefix="0" xfId="0">
      <alignment horizontal="center" vertical="center"/>
    </xf>
    <xf numFmtId="0" fontId="5" fillId="0" borderId="245" applyAlignment="1" pivotButton="0" quotePrefix="0" xfId="0">
      <alignment horizontal="left" vertical="center"/>
    </xf>
    <xf numFmtId="0" fontId="5" fillId="0" borderId="27" applyAlignment="1" pivotButton="0" quotePrefix="0" xfId="0">
      <alignment vertical="center"/>
    </xf>
    <xf numFmtId="0" fontId="5" fillId="0" borderId="244" applyAlignment="1" pivotButton="0" quotePrefix="0" xfId="0">
      <alignment horizontal="center" vertical="center"/>
    </xf>
    <xf numFmtId="0" fontId="6" fillId="0" borderId="242" applyAlignment="1" pivotButton="0" quotePrefix="0" xfId="0">
      <alignment horizontal="center" vertical="center"/>
    </xf>
    <xf numFmtId="0" fontId="0" fillId="0" borderId="171" pivotButton="0" quotePrefix="0" xfId="0"/>
    <xf numFmtId="0" fontId="0" fillId="0" borderId="179" pivotButton="0" quotePrefix="0" xfId="0"/>
    <xf numFmtId="0" fontId="5" fillId="0" borderId="246" applyAlignment="1" pivotButton="0" quotePrefix="0" xfId="0">
      <alignment horizontal="center" vertical="center" wrapText="1"/>
    </xf>
    <xf numFmtId="0" fontId="0" fillId="0" borderId="174" pivotButton="0" quotePrefix="0" xfId="0"/>
    <xf numFmtId="0" fontId="6" fillId="0" borderId="243" applyAlignment="1" pivotButton="0" quotePrefix="0" xfId="0">
      <alignment horizontal="center" vertical="center"/>
    </xf>
    <xf numFmtId="0" fontId="0" fillId="0" borderId="178" pivotButton="0" quotePrefix="0" xfId="0"/>
    <xf numFmtId="0" fontId="94" fillId="0" borderId="29" applyAlignment="1" pivotButton="0" quotePrefix="0" xfId="0">
      <alignment horizontal="left" vertical="center" shrinkToFit="1"/>
    </xf>
    <xf numFmtId="0" fontId="6" fillId="0" borderId="241" applyAlignment="1" pivotButton="0" quotePrefix="0" xfId="0">
      <alignment horizontal="center" vertical="center" wrapText="1"/>
    </xf>
    <xf numFmtId="0" fontId="0" fillId="0" borderId="172" pivotButton="0" quotePrefix="0" xfId="0"/>
    <xf numFmtId="0" fontId="0" fillId="0" borderId="173" pivotButton="0" quotePrefix="0" xfId="0"/>
    <xf numFmtId="0" fontId="6" fillId="0" borderId="0" applyAlignment="1" pivotButton="0" quotePrefix="0" xfId="0">
      <alignment horizontal="distributed" vertical="center"/>
    </xf>
    <xf numFmtId="0" fontId="6" fillId="0" borderId="0" applyAlignment="1" pivotButton="0" quotePrefix="0" xfId="0">
      <alignment vertical="center"/>
    </xf>
    <xf numFmtId="0" fontId="26" fillId="17" borderId="0" applyAlignment="1" pivotButton="0" quotePrefix="0" xfId="0">
      <alignment horizontal="distributed" vertical="center"/>
    </xf>
    <xf numFmtId="0" fontId="7" fillId="0" borderId="0" applyAlignment="1" pivotButton="0" quotePrefix="0" xfId="0">
      <alignment horizontal="distributed" vertical="center"/>
    </xf>
    <xf numFmtId="0" fontId="50" fillId="0" borderId="0" applyAlignment="1" pivotButton="0" quotePrefix="0" xfId="0">
      <alignment horizontal="distributed" vertical="center"/>
    </xf>
    <xf numFmtId="0" fontId="6" fillId="0" borderId="240" applyAlignment="1" pivotButton="0" quotePrefix="0" xfId="0">
      <alignment horizontal="left" vertical="center" wrapText="1"/>
    </xf>
    <xf numFmtId="0" fontId="0" fillId="0" borderId="247" pivotButton="0" quotePrefix="0" xfId="0"/>
    <xf numFmtId="0" fontId="24" fillId="0" borderId="240" applyAlignment="1" pivotButton="0" quotePrefix="0" xfId="0">
      <alignment horizontal="center" vertical="center" wrapText="1"/>
    </xf>
    <xf numFmtId="0" fontId="0" fillId="0" borderId="128" pivotButton="0" quotePrefix="0" xfId="0"/>
    <xf numFmtId="0" fontId="0" fillId="0" borderId="33" pivotButton="0" quotePrefix="0" xfId="0"/>
    <xf numFmtId="0" fontId="24" fillId="0" borderId="240" applyAlignment="1" pivotButton="0" quotePrefix="0" xfId="0">
      <alignment horizontal="center" vertical="top" wrapText="1"/>
    </xf>
    <xf numFmtId="0" fontId="24" fillId="0" borderId="0" applyAlignment="1" pivotButton="0" quotePrefix="0" xfId="0">
      <alignment horizontal="center" vertical="top" wrapText="1"/>
    </xf>
    <xf numFmtId="0" fontId="10" fillId="0" borderId="0" applyAlignment="1" pivotButton="0" quotePrefix="0" xfId="0">
      <alignment horizontal="center" vertical="center"/>
    </xf>
    <xf numFmtId="0" fontId="30" fillId="0" borderId="0" applyAlignment="1" pivotButton="0" quotePrefix="0" xfId="0">
      <alignment horizontal="left" vertical="center"/>
    </xf>
    <xf numFmtId="0" fontId="6" fillId="0" borderId="0" applyAlignment="1" pivotButton="0" quotePrefix="0" xfId="0">
      <alignment horizontal="center" vertical="center"/>
    </xf>
    <xf numFmtId="0" fontId="21" fillId="0" borderId="5" applyAlignment="1" applyProtection="1" pivotButton="0" quotePrefix="0" xfId="1">
      <alignment horizontal="center" vertical="center"/>
      <protection locked="1" hidden="1"/>
    </xf>
    <xf numFmtId="0" fontId="2" fillId="0" borderId="8" applyAlignment="1" applyProtection="1" pivotButton="0" quotePrefix="0" xfId="1">
      <alignment horizontal="center" vertical="center"/>
      <protection locked="1" hidden="1"/>
    </xf>
    <xf numFmtId="0" fontId="21" fillId="0" borderId="0" applyAlignment="1" pivotButton="0" quotePrefix="0" xfId="0">
      <alignment horizontal="distributed" vertical="center" shrinkToFit="1"/>
    </xf>
    <xf numFmtId="0" fontId="21" fillId="0" borderId="8" applyAlignment="1" pivotButton="0" quotePrefix="0" xfId="0">
      <alignment vertical="center" textRotation="255" wrapText="1"/>
    </xf>
    <xf numFmtId="0" fontId="21" fillId="0" borderId="18" applyAlignment="1" pivotButton="0" quotePrefix="0" xfId="0">
      <alignment horizontal="distributed" vertical="center"/>
    </xf>
    <xf numFmtId="0" fontId="21" fillId="0" borderId="21" applyAlignment="1" pivotButton="0" quotePrefix="0" xfId="0">
      <alignment horizontal="center" vertical="center"/>
    </xf>
    <xf numFmtId="0" fontId="0" fillId="0" borderId="23" pivotButton="0" quotePrefix="0" xfId="0"/>
    <xf numFmtId="0" fontId="0" fillId="0" borderId="22" pivotButton="0" quotePrefix="0" xfId="0"/>
    <xf numFmtId="0" fontId="96" fillId="0" borderId="5" applyAlignment="1" pivotButton="0" quotePrefix="0" xfId="0">
      <alignment horizontal="center" vertical="center" wrapText="1" shrinkToFit="1"/>
    </xf>
    <xf numFmtId="0" fontId="2" fillId="0" borderId="29" applyAlignment="1" pivotButton="0" quotePrefix="0" xfId="0">
      <alignment vertical="center"/>
    </xf>
    <xf numFmtId="0" fontId="20" fillId="0" borderId="13" applyAlignment="1" pivotButton="0" quotePrefix="0" xfId="0">
      <alignment horizontal="center" vertical="center" shrinkToFit="1"/>
    </xf>
    <xf numFmtId="0" fontId="75" fillId="0" borderId="5" applyAlignment="1" pivotButton="0" quotePrefix="0" xfId="0">
      <alignment vertical="center" wrapText="1"/>
    </xf>
    <xf numFmtId="0" fontId="21" fillId="0" borderId="5" applyAlignment="1" pivotButton="0" quotePrefix="0" xfId="0">
      <alignment horizontal="left" vertical="center" wrapText="1"/>
    </xf>
    <xf numFmtId="0" fontId="99" fillId="0" borderId="102" applyAlignment="1" pivotButton="0" quotePrefix="0" xfId="0">
      <alignment horizontal="left" vertical="top" wrapText="1"/>
    </xf>
    <xf numFmtId="0" fontId="0" fillId="0" borderId="235" pivotButton="0" quotePrefix="0" xfId="0"/>
    <xf numFmtId="0" fontId="0" fillId="0" borderId="248" pivotButton="0" quotePrefix="0" xfId="0"/>
    <xf numFmtId="0" fontId="2" fillId="0" borderId="14" applyAlignment="1" pivotButton="0" quotePrefix="0" xfId="0">
      <alignment vertical="center"/>
    </xf>
    <xf numFmtId="0" fontId="97" fillId="0" borderId="5" applyAlignment="1" pivotButton="0" quotePrefix="0" xfId="0">
      <alignment vertical="center" textRotation="255"/>
    </xf>
    <xf numFmtId="0" fontId="0" fillId="0" borderId="29" pivotButton="0" quotePrefix="0" xfId="0"/>
    <xf numFmtId="0" fontId="99" fillId="0" borderId="5" applyAlignment="1" pivotButton="0" quotePrefix="0" xfId="0">
      <alignment horizontal="left" vertical="top" wrapText="1"/>
    </xf>
    <xf numFmtId="0" fontId="3" fillId="0" borderId="5" applyAlignment="1" pivotButton="0" quotePrefix="0" xfId="0">
      <alignment vertical="center" textRotation="255"/>
    </xf>
    <xf numFmtId="0" fontId="2" fillId="0" borderId="18" applyAlignment="1" pivotButton="0" quotePrefix="0" xfId="0">
      <alignment vertical="center"/>
    </xf>
    <xf numFmtId="0" fontId="2" fillId="0" borderId="11" applyAlignment="1" pivotButton="0" quotePrefix="0" xfId="0">
      <alignment vertical="center"/>
    </xf>
    <xf numFmtId="0" fontId="21" fillId="0" borderId="182" applyAlignment="1" pivotButton="0" quotePrefix="0" xfId="0">
      <alignment horizontal="center" vertical="center"/>
    </xf>
    <xf numFmtId="0" fontId="21" fillId="0" borderId="13" applyAlignment="1" pivotButton="0" quotePrefix="0" xfId="0">
      <alignment horizontal="distributed" vertical="center" shrinkToFit="1"/>
    </xf>
    <xf numFmtId="0" fontId="45" fillId="0" borderId="19" applyAlignment="1" pivotButton="0" quotePrefix="0" xfId="0">
      <alignment horizontal="center" vertical="center" wrapText="1"/>
    </xf>
    <xf numFmtId="0" fontId="2" fillId="0" borderId="25" applyAlignment="1" pivotButton="0" quotePrefix="0" xfId="0">
      <alignment vertical="center"/>
    </xf>
    <xf numFmtId="0" fontId="96" fillId="0" borderId="0" applyAlignment="1" pivotButton="0" quotePrefix="0" xfId="0">
      <alignment vertical="center"/>
    </xf>
    <xf numFmtId="0" fontId="21" fillId="0" borderId="19" applyAlignment="1" pivotButton="0" quotePrefix="0" xfId="0">
      <alignment horizontal="distributed" vertical="center" shrinkToFit="1"/>
    </xf>
    <xf numFmtId="0" fontId="0" fillId="0" borderId="5" applyAlignment="1" pivotButton="0" quotePrefix="0" xfId="0">
      <alignment vertical="center"/>
    </xf>
    <xf numFmtId="0" fontId="96" fillId="0" borderId="0" applyAlignment="1" pivotButton="0" quotePrefix="0" xfId="0">
      <alignment vertical="center" wrapText="1"/>
    </xf>
    <xf numFmtId="0" fontId="45" fillId="0" borderId="13" applyAlignment="1" pivotButton="0" quotePrefix="0" xfId="0">
      <alignment horizontal="center" vertical="center" shrinkToFit="1"/>
    </xf>
    <xf numFmtId="0" fontId="98" fillId="0" borderId="5" applyAlignment="1" pivotButton="0" quotePrefix="0" xfId="0">
      <alignment vertical="center" textRotation="255"/>
    </xf>
    <xf numFmtId="0" fontId="21" fillId="0" borderId="5" applyAlignment="1" pivotButton="0" quotePrefix="0" xfId="0">
      <alignment horizontal="center" vertical="center" wrapText="1" shrinkToFit="1"/>
    </xf>
    <xf numFmtId="0" fontId="21" fillId="0" borderId="9" applyAlignment="1" pivotButton="0" quotePrefix="0" xfId="0">
      <alignment horizontal="left" vertical="center" wrapText="1"/>
    </xf>
    <xf numFmtId="0" fontId="13" fillId="0" borderId="0" applyAlignment="1" pivotButton="0" quotePrefix="0" xfId="0">
      <alignment horizontal="left" vertical="center"/>
    </xf>
    <xf numFmtId="0" fontId="51" fillId="0" borderId="0" applyAlignment="1" pivotButton="0" quotePrefix="0" xfId="0">
      <alignment vertical="center"/>
    </xf>
    <xf numFmtId="0" fontId="52" fillId="0" borderId="0" applyAlignment="1" pivotButton="0" quotePrefix="0" xfId="0">
      <alignment horizontal="center" vertical="center"/>
    </xf>
    <xf numFmtId="0" fontId="13" fillId="0" borderId="0" applyAlignment="1" pivotButton="0" quotePrefix="0" xfId="0">
      <alignment horizontal="distributed" vertical="center"/>
    </xf>
    <xf numFmtId="0" fontId="13" fillId="0" borderId="0" applyAlignment="1" pivotButton="0" quotePrefix="0" xfId="0">
      <alignment horizontal="left" vertical="center" wrapText="1"/>
    </xf>
    <xf numFmtId="0" fontId="13" fillId="0" borderId="0" applyAlignment="1" pivotButton="0" quotePrefix="0" xfId="0">
      <alignment horizontal="center" vertical="center"/>
    </xf>
    <xf numFmtId="0" fontId="37" fillId="0" borderId="11" applyAlignment="1" pivotButton="0" quotePrefix="0" xfId="0">
      <alignment vertical="top" wrapText="1"/>
    </xf>
    <xf numFmtId="0" fontId="5" fillId="0" borderId="11" applyAlignment="1" pivotButton="0" quotePrefix="0" xfId="0">
      <alignment vertical="center" wrapText="1"/>
    </xf>
    <xf numFmtId="0" fontId="37" fillId="0" borderId="9" applyAlignment="1" pivotButton="0" quotePrefix="0" xfId="0">
      <alignment horizontal="justify" vertical="center" wrapText="1"/>
    </xf>
    <xf numFmtId="0" fontId="50" fillId="0" borderId="27" applyAlignment="1" pivotButton="0" quotePrefix="0" xfId="0">
      <alignment horizontal="center" vertical="center" wrapText="1"/>
    </xf>
    <xf numFmtId="0" fontId="5" fillId="0" borderId="5" applyAlignment="1" pivotButton="0" quotePrefix="0" xfId="0">
      <alignment horizontal="center" vertical="distributed" textRotation="255" wrapText="1"/>
    </xf>
    <xf numFmtId="0" fontId="37" fillId="0" borderId="10" applyAlignment="1" pivotButton="0" quotePrefix="0" xfId="0">
      <alignment horizontal="center" vertical="center" wrapText="1"/>
    </xf>
    <xf numFmtId="0" fontId="37" fillId="0" borderId="5" applyAlignment="1" pivotButton="0" quotePrefix="0" xfId="0">
      <alignment horizontal="left" vertical="center" wrapText="1"/>
    </xf>
    <xf numFmtId="0" fontId="37" fillId="0" borderId="5" applyAlignment="1" pivotButton="0" quotePrefix="0" xfId="0">
      <alignment vertical="top" wrapText="1"/>
    </xf>
    <xf numFmtId="0" fontId="37" fillId="0" borderId="9" applyAlignment="1" pivotButton="0" quotePrefix="0" xfId="0">
      <alignment horizontal="left" vertical="center" wrapText="1"/>
    </xf>
    <xf numFmtId="0" fontId="49" fillId="0" borderId="11" applyAlignment="1" pivotButton="0" quotePrefix="0" xfId="0">
      <alignment horizontal="center" vertical="center"/>
    </xf>
    <xf numFmtId="0" fontId="49" fillId="0" borderId="11" applyAlignment="1" pivotButton="0" quotePrefix="0" xfId="0">
      <alignment horizontal="right" wrapText="1"/>
    </xf>
    <xf numFmtId="0" fontId="37" fillId="0" borderId="5" applyAlignment="1" pivotButton="0" quotePrefix="0" xfId="0">
      <alignment horizontal="justify" vertical="center" wrapText="1"/>
    </xf>
    <xf numFmtId="0" fontId="33" fillId="0" borderId="0" applyAlignment="1" pivotButton="0" quotePrefix="0" xfId="0">
      <alignment horizontal="center" vertical="center"/>
    </xf>
    <xf numFmtId="0" fontId="37" fillId="0" borderId="25" applyAlignment="1" pivotButton="0" quotePrefix="0" xfId="0">
      <alignment horizontal="left" vertical="top" wrapText="1"/>
    </xf>
    <xf numFmtId="0" fontId="5" fillId="0" borderId="5" applyAlignment="1" pivotButton="0" quotePrefix="0" xfId="0">
      <alignment vertical="top" wrapText="1"/>
    </xf>
    <xf numFmtId="0" fontId="49" fillId="0" borderId="5" applyAlignment="1" pivotButton="0" quotePrefix="0" xfId="0">
      <alignment horizontal="center" wrapText="1"/>
    </xf>
    <xf numFmtId="0" fontId="37" fillId="0" borderId="11" applyAlignment="1" pivotButton="0" quotePrefix="0" xfId="0">
      <alignment horizontal="justify" vertical="center" wrapText="1"/>
    </xf>
    <xf numFmtId="0" fontId="37" fillId="0" borderId="0" applyAlignment="1" pivotButton="0" quotePrefix="0" xfId="0">
      <alignment horizontal="center" vertical="center" wrapText="1"/>
    </xf>
    <xf numFmtId="0" fontId="5" fillId="0" borderId="19" applyAlignment="1" pivotButton="0" quotePrefix="0" xfId="0">
      <alignment horizontal="left" vertical="center" wrapText="1"/>
    </xf>
    <xf numFmtId="0" fontId="5" fillId="0" borderId="25" applyAlignment="1" pivotButton="0" quotePrefix="0" xfId="0">
      <alignment horizontal="justify" vertical="center" wrapText="1"/>
    </xf>
    <xf numFmtId="0" fontId="49" fillId="0" borderId="13" applyAlignment="1" pivotButton="0" quotePrefix="1" xfId="0">
      <alignment horizontal="right"/>
    </xf>
    <xf numFmtId="0" fontId="37" fillId="0" borderId="25" applyAlignment="1" pivotButton="0" quotePrefix="0" xfId="0">
      <alignment horizontal="justify" vertical="center" wrapText="1"/>
    </xf>
    <xf numFmtId="0" fontId="5" fillId="0" borderId="25" applyAlignment="1" pivotButton="0" quotePrefix="0" xfId="0">
      <alignment vertical="center" wrapText="1"/>
    </xf>
    <xf numFmtId="0" fontId="6" fillId="0" borderId="5" applyAlignment="1" pivotButton="0" quotePrefix="0" xfId="0">
      <alignment vertical="center" wrapText="1"/>
    </xf>
    <xf numFmtId="0" fontId="6" fillId="0" borderId="5" applyAlignment="1" pivotButton="0" quotePrefix="0" xfId="0">
      <alignment horizontal="distributed" vertical="center" wrapText="1"/>
    </xf>
    <xf numFmtId="0" fontId="6" fillId="0" borderId="29" applyAlignment="1" pivotButton="0" quotePrefix="0" xfId="0">
      <alignment horizontal="justify" vertical="center" wrapText="1"/>
    </xf>
    <xf numFmtId="0" fontId="6" fillId="0" borderId="11" applyAlignment="1" pivotButton="0" quotePrefix="0" xfId="0">
      <alignment horizontal="justify" vertical="center" wrapText="1"/>
    </xf>
    <xf numFmtId="0" fontId="6" fillId="0" borderId="5" applyAlignment="1" pivotButton="0" quotePrefix="0" xfId="0">
      <alignment horizontal="justify" vertical="center" wrapText="1"/>
    </xf>
    <xf numFmtId="0" fontId="8" fillId="0" borderId="5" applyAlignment="1" pivotButton="0" quotePrefix="0" xfId="0">
      <alignment horizontal="justify" vertical="center" wrapText="1"/>
    </xf>
    <xf numFmtId="0" fontId="33" fillId="0" borderId="5" applyAlignment="1" pivotButton="0" quotePrefix="0" xfId="0">
      <alignment horizontal="center" vertical="center" wrapText="1"/>
    </xf>
    <xf numFmtId="0" fontId="6" fillId="0" borderId="14" applyAlignment="1" pivotButton="0" quotePrefix="0" xfId="0">
      <alignment horizontal="left" vertical="center" wrapText="1" indent="1"/>
    </xf>
    <xf numFmtId="0" fontId="6" fillId="0" borderId="18" applyAlignment="1" pivotButton="0" quotePrefix="0" xfId="0">
      <alignment horizontal="left" vertical="center" wrapText="1" indent="1"/>
    </xf>
    <xf numFmtId="0" fontId="6" fillId="0" borderId="25" applyAlignment="1" pivotButton="0" quotePrefix="0" xfId="0">
      <alignment horizontal="justify" vertical="center" wrapText="1"/>
    </xf>
    <xf numFmtId="0" fontId="22" fillId="0" borderId="5" applyAlignment="1" pivotButton="0" quotePrefix="0" xfId="0">
      <alignment horizontal="center" vertical="center" wrapText="1"/>
    </xf>
    <xf numFmtId="0" fontId="55" fillId="0" borderId="5" applyAlignment="1" pivotButton="0" quotePrefix="0" xfId="0">
      <alignment horizontal="center" vertical="center"/>
    </xf>
    <xf numFmtId="0" fontId="55" fillId="0" borderId="8" applyAlignment="1" pivotButton="0" quotePrefix="0" xfId="0">
      <alignment horizontal="center" vertical="center"/>
    </xf>
    <xf numFmtId="0" fontId="55" fillId="0" borderId="10" applyAlignment="1" pivotButton="0" quotePrefix="0" xfId="0">
      <alignment horizontal="center" vertical="center"/>
    </xf>
    <xf numFmtId="1" fontId="55" fillId="0" borderId="8" applyAlignment="1" pivotButton="0" quotePrefix="0" xfId="0">
      <alignment horizontal="center" vertical="center"/>
    </xf>
    <xf numFmtId="0" fontId="55" fillId="0" borderId="5" applyAlignment="1" pivotButton="0" quotePrefix="0" xfId="0">
      <alignment horizontal="center" vertical="center" shrinkToFit="1"/>
    </xf>
    <xf numFmtId="0" fontId="55" fillId="0" borderId="9" applyAlignment="1" pivotButton="0" quotePrefix="0" xfId="0">
      <alignment horizontal="center" vertical="center"/>
    </xf>
    <xf numFmtId="175" fontId="55" fillId="0" borderId="8" applyAlignment="1" pivotButton="0" quotePrefix="0" xfId="0">
      <alignment horizontal="center" vertical="center"/>
    </xf>
    <xf numFmtId="0" fontId="75" fillId="0" borderId="5" applyAlignment="1" pivotButton="0" quotePrefix="0" xfId="0">
      <alignment horizontal="center" vertical="center" wrapText="1"/>
    </xf>
    <xf numFmtId="0" fontId="55" fillId="0" borderId="8" applyAlignment="1" pivotButton="0" quotePrefix="0" xfId="0">
      <alignment horizontal="center" vertical="center" shrinkToFit="1"/>
    </xf>
    <xf numFmtId="1" fontId="55" fillId="0" borderId="5" applyAlignment="1" pivotButton="0" quotePrefix="0" xfId="0">
      <alignment horizontal="center" vertical="center" wrapText="1"/>
    </xf>
    <xf numFmtId="0" fontId="55" fillId="0" borderId="5" applyAlignment="1" pivotButton="0" quotePrefix="0" xfId="0">
      <alignment horizontal="distributed" vertical="center"/>
    </xf>
    <xf numFmtId="0" fontId="2" fillId="0" borderId="11" applyAlignment="1" pivotButton="0" quotePrefix="0" xfId="0">
      <alignment horizontal="center" vertical="center" wrapText="1"/>
    </xf>
    <xf numFmtId="0" fontId="2" fillId="0" borderId="5" applyAlignment="1" pivotButton="0" quotePrefix="0" xfId="0">
      <alignment horizontal="center" vertical="center" wrapText="1"/>
    </xf>
    <xf numFmtId="0" fontId="21" fillId="0" borderId="19" applyAlignment="1" pivotButton="0" quotePrefix="0" xfId="3">
      <alignment horizontal="left" vertical="top" wrapText="1"/>
    </xf>
    <xf numFmtId="0" fontId="73" fillId="0" borderId="0" applyAlignment="1" pivotButton="0" quotePrefix="0" xfId="3">
      <alignment horizontal="left" vertical="top"/>
    </xf>
    <xf numFmtId="0" fontId="53" fillId="0" borderId="5" applyAlignment="1" pivotButton="0" quotePrefix="0" xfId="3">
      <alignment horizontal="left" vertical="top" wrapText="1"/>
    </xf>
    <xf numFmtId="0" fontId="44" fillId="0" borderId="122" applyAlignment="1" pivotButton="0" quotePrefix="0" xfId="3">
      <alignment horizontal="left" wrapText="1"/>
    </xf>
    <xf numFmtId="0" fontId="0" fillId="0" borderId="121" pivotButton="0" quotePrefix="0" xfId="0"/>
    <xf numFmtId="0" fontId="0" fillId="0" borderId="120" pivotButton="0" quotePrefix="0" xfId="0"/>
    <xf numFmtId="0" fontId="2" fillId="0" borderId="5" applyAlignment="1" pivotButton="0" quotePrefix="0" xfId="3">
      <alignment horizontal="center" vertical="top" wrapText="1"/>
    </xf>
    <xf numFmtId="0" fontId="55" fillId="0" borderId="122" applyAlignment="1" pivotButton="0" quotePrefix="0" xfId="3">
      <alignment horizontal="left" vertical="top" wrapText="1"/>
    </xf>
    <xf numFmtId="0" fontId="0" fillId="0" borderId="125" pivotButton="0" quotePrefix="0" xfId="0"/>
    <xf numFmtId="0" fontId="0" fillId="0" borderId="118" pivotButton="0" quotePrefix="0" xfId="0"/>
    <xf numFmtId="0" fontId="53" fillId="0" borderId="0" applyAlignment="1" pivotButton="0" quotePrefix="0" xfId="3">
      <alignment horizontal="left" vertical="top"/>
    </xf>
    <xf numFmtId="49" fontId="73" fillId="0" borderId="0" applyAlignment="1" pivotButton="0" quotePrefix="0" xfId="3">
      <alignment horizontal="center" vertical="center"/>
    </xf>
    <xf numFmtId="0" fontId="44" fillId="0" borderId="5" applyAlignment="1" pivotButton="0" quotePrefix="0" xfId="3">
      <alignment horizontal="center" vertical="top" wrapText="1"/>
    </xf>
    <xf numFmtId="0" fontId="55" fillId="0" borderId="5" applyAlignment="1" pivotButton="0" quotePrefix="0" xfId="3">
      <alignment horizontal="left" vertical="top" wrapText="1"/>
    </xf>
    <xf numFmtId="0" fontId="44" fillId="0" borderId="114" applyAlignment="1" pivotButton="0" quotePrefix="0" xfId="3">
      <alignment horizontal="right" vertical="top" wrapText="1"/>
    </xf>
    <xf numFmtId="0" fontId="0" fillId="0" borderId="114" pivotButton="0" quotePrefix="0" xfId="0"/>
    <xf numFmtId="0" fontId="44" fillId="0" borderId="114" applyAlignment="1" pivotButton="0" quotePrefix="0" xfId="3">
      <alignment horizontal="left" vertical="top" textRotation="255" wrapText="1"/>
    </xf>
    <xf numFmtId="0" fontId="44" fillId="0" borderId="122" applyAlignment="1" pivotButton="0" quotePrefix="0" xfId="3">
      <alignment horizontal="left" vertical="top" wrapText="1"/>
    </xf>
    <xf numFmtId="0" fontId="2" fillId="0" borderId="5" applyAlignment="1" pivotButton="0" quotePrefix="0" xfId="3">
      <alignment horizontal="left" vertical="top" wrapText="1"/>
    </xf>
    <xf numFmtId="0" fontId="55" fillId="0" borderId="122" applyAlignment="1" pivotButton="0" quotePrefix="0" xfId="3">
      <alignment horizontal="left" vertical="center" wrapText="1"/>
    </xf>
    <xf numFmtId="0" fontId="0" fillId="0" borderId="126" pivotButton="0" quotePrefix="0" xfId="0"/>
    <xf numFmtId="0" fontId="0" fillId="0" borderId="124" pivotButton="0" quotePrefix="0" xfId="0"/>
    <xf numFmtId="0" fontId="0" fillId="0" borderId="117" pivotButton="0" quotePrefix="0" xfId="0"/>
    <xf numFmtId="0" fontId="0" fillId="0" borderId="123" pivotButton="0" quotePrefix="0" xfId="0"/>
    <xf numFmtId="0" fontId="55" fillId="0" borderId="5" applyAlignment="1" pivotButton="0" quotePrefix="0" xfId="3">
      <alignment horizontal="center" vertical="top" wrapText="1"/>
    </xf>
    <xf numFmtId="0" fontId="2" fillId="0" borderId="122" applyAlignment="1" pivotButton="0" quotePrefix="0" xfId="3">
      <alignment horizontal="left" vertical="top" wrapText="1"/>
    </xf>
    <xf numFmtId="0" fontId="2" fillId="0" borderId="122" applyAlignment="1" pivotButton="0" quotePrefix="0" xfId="3">
      <alignment horizontal="center" vertical="top" wrapText="1"/>
    </xf>
    <xf numFmtId="0" fontId="53" fillId="0" borderId="119" applyAlignment="1" pivotButton="0" quotePrefix="0" xfId="3">
      <alignment horizontal="left" vertical="top"/>
    </xf>
    <xf numFmtId="0" fontId="0" fillId="0" borderId="119" pivotButton="0" quotePrefix="0" xfId="0"/>
    <xf numFmtId="0" fontId="6" fillId="0" borderId="253" applyAlignment="1" pivotButton="0" quotePrefix="0" xfId="0">
      <alignment horizontal="center" vertical="center" wrapText="1"/>
    </xf>
    <xf numFmtId="0" fontId="0" fillId="0" borderId="72" pivotButton="0" quotePrefix="0" xfId="0"/>
    <xf numFmtId="0" fontId="0" fillId="0" borderId="32" pivotButton="0" quotePrefix="0" xfId="0"/>
    <xf numFmtId="0" fontId="30" fillId="0" borderId="221" applyAlignment="1" pivotButton="0" quotePrefix="0" xfId="0">
      <alignment horizontal="left" vertical="center" wrapText="1"/>
    </xf>
    <xf numFmtId="0" fontId="0" fillId="0" borderId="131" pivotButton="0" quotePrefix="0" xfId="0"/>
    <xf numFmtId="0" fontId="30" fillId="0" borderId="83" applyAlignment="1" pivotButton="0" quotePrefix="0" xfId="0">
      <alignment horizontal="left" vertical="center"/>
    </xf>
    <xf numFmtId="0" fontId="30" fillId="0" borderId="250" applyAlignment="1" pivotButton="0" quotePrefix="0" xfId="0">
      <alignment horizontal="left" vertical="center" wrapText="1"/>
    </xf>
    <xf numFmtId="0" fontId="0" fillId="0" borderId="146" pivotButton="0" quotePrefix="0" xfId="0"/>
    <xf numFmtId="0" fontId="0" fillId="0" borderId="145" pivotButton="0" quotePrefix="0" xfId="0"/>
    <xf numFmtId="0" fontId="6" fillId="0" borderId="233" applyAlignment="1" pivotButton="0" quotePrefix="0" xfId="0">
      <alignment horizontal="justify" vertical="center" wrapText="1"/>
    </xf>
    <xf numFmtId="0" fontId="91" fillId="0" borderId="74" applyAlignment="1" pivotButton="0" quotePrefix="0" xfId="0">
      <alignment horizontal="distributed" vertical="center"/>
    </xf>
    <xf numFmtId="0" fontId="6" fillId="0" borderId="232" applyAlignment="1" pivotButton="0" quotePrefix="0" xfId="0">
      <alignment horizontal="justify" vertical="center" wrapText="1"/>
    </xf>
    <xf numFmtId="0" fontId="6" fillId="0" borderId="223" applyAlignment="1" pivotButton="0" quotePrefix="0" xfId="0">
      <alignment horizontal="center" vertical="center" wrapText="1"/>
    </xf>
    <xf numFmtId="0" fontId="0" fillId="0" borderId="132" pivotButton="0" quotePrefix="0" xfId="0"/>
    <xf numFmtId="0" fontId="6" fillId="0" borderId="79" applyAlignment="1" pivotButton="0" quotePrefix="0" xfId="0">
      <alignment horizontal="justify" vertical="center" wrapText="1"/>
    </xf>
    <xf numFmtId="0" fontId="89" fillId="0" borderId="232" applyAlignment="1" pivotButton="0" quotePrefix="0" xfId="0">
      <alignment horizontal="justify" vertical="center" wrapText="1"/>
    </xf>
    <xf numFmtId="0" fontId="91" fillId="0" borderId="46" applyAlignment="1" pivotButton="0" quotePrefix="0" xfId="0">
      <alignment horizontal="distributed" vertical="center"/>
    </xf>
    <xf numFmtId="0" fontId="30" fillId="0" borderId="227" applyAlignment="1" pivotButton="0" quotePrefix="0" xfId="0">
      <alignment horizontal="left" vertical="center" wrapText="1"/>
    </xf>
    <xf numFmtId="0" fontId="30" fillId="0" borderId="249" applyAlignment="1" pivotButton="0" quotePrefix="0" xfId="0">
      <alignment horizontal="left" vertical="center" wrapText="1"/>
    </xf>
    <xf numFmtId="0" fontId="0" fillId="0" borderId="148" pivotButton="0" quotePrefix="0" xfId="0"/>
    <xf numFmtId="0" fontId="0" fillId="0" borderId="147" pivotButton="0" quotePrefix="0" xfId="0"/>
    <xf numFmtId="0" fontId="6" fillId="0" borderId="252" applyAlignment="1" pivotButton="0" quotePrefix="0" xfId="0">
      <alignment horizontal="justify" vertical="center" wrapText="1"/>
    </xf>
    <xf numFmtId="0" fontId="91" fillId="0" borderId="251" applyAlignment="1" pivotButton="0" quotePrefix="0" xfId="0">
      <alignment horizontal="center" vertical="center" wrapText="1"/>
    </xf>
    <xf numFmtId="0" fontId="6" fillId="0" borderId="215" applyAlignment="1" pivotButton="0" quotePrefix="0" xfId="0">
      <alignment horizontal="justify" vertical="center" wrapText="1"/>
    </xf>
    <xf numFmtId="0" fontId="6" fillId="0" borderId="256" applyAlignment="1" pivotButton="0" quotePrefix="0" xfId="0">
      <alignment horizontal="justify" vertical="center" wrapText="1"/>
    </xf>
    <xf numFmtId="0" fontId="0" fillId="0" borderId="138" pivotButton="0" quotePrefix="0" xfId="0"/>
    <xf numFmtId="0" fontId="6" fillId="0" borderId="259" applyAlignment="1" pivotButton="0" quotePrefix="0" xfId="0">
      <alignment horizontal="justify" vertical="center" wrapText="1"/>
    </xf>
    <xf numFmtId="0" fontId="0" fillId="0" borderId="142" pivotButton="0" quotePrefix="0" xfId="0"/>
    <xf numFmtId="0" fontId="0" fillId="0" borderId="141" pivotButton="0" quotePrefix="0" xfId="0"/>
    <xf numFmtId="0" fontId="6" fillId="0" borderId="257" applyAlignment="1" pivotButton="0" quotePrefix="0" xfId="0">
      <alignment horizontal="justify" vertical="center" wrapText="1"/>
    </xf>
    <xf numFmtId="0" fontId="54" fillId="0" borderId="53" applyAlignment="1" pivotButton="0" quotePrefix="0" xfId="0">
      <alignment horizontal="distributed" vertical="center" wrapText="1"/>
    </xf>
    <xf numFmtId="0" fontId="6" fillId="0" borderId="255" applyAlignment="1" pivotButton="0" quotePrefix="0" xfId="0">
      <alignment horizontal="justify" vertical="center" wrapText="1"/>
    </xf>
    <xf numFmtId="0" fontId="0" fillId="0" borderId="136" pivotButton="0" quotePrefix="0" xfId="0"/>
    <xf numFmtId="0" fontId="0" fillId="0" borderId="135" pivotButton="0" quotePrefix="0" xfId="0"/>
    <xf numFmtId="0" fontId="27" fillId="0" borderId="264" applyAlignment="1" pivotButton="0" quotePrefix="0" xfId="0">
      <alignment horizontal="center" vertical="center" wrapText="1"/>
    </xf>
    <xf numFmtId="0" fontId="0" fillId="0" borderId="265" pivotButton="0" quotePrefix="0" xfId="0"/>
    <xf numFmtId="0" fontId="31" fillId="0" borderId="263" applyAlignment="1" pivotButton="0" quotePrefix="0" xfId="0">
      <alignment horizontal="justify" vertical="center" wrapText="1"/>
    </xf>
    <xf numFmtId="0" fontId="0" fillId="0" borderId="144" pivotButton="0" quotePrefix="0" xfId="0"/>
    <xf numFmtId="0" fontId="6" fillId="0" borderId="262" applyAlignment="1" pivotButton="0" quotePrefix="0" xfId="0">
      <alignment horizontal="justify" vertical="center" wrapText="1"/>
    </xf>
    <xf numFmtId="0" fontId="6" fillId="0" borderId="258" applyAlignment="1" pivotButton="0" quotePrefix="0" xfId="0">
      <alignment horizontal="justify" vertical="center" wrapText="1"/>
    </xf>
    <xf numFmtId="0" fontId="0" fillId="0" borderId="143" pivotButton="0" quotePrefix="0" xfId="0"/>
    <xf numFmtId="0" fontId="6" fillId="0" borderId="254" applyAlignment="1" pivotButton="0" quotePrefix="0" xfId="0">
      <alignment horizontal="justify" vertical="center" wrapText="1"/>
    </xf>
    <xf numFmtId="0" fontId="0" fillId="0" borderId="137" pivotButton="0" quotePrefix="0" xfId="0"/>
    <xf numFmtId="0" fontId="6" fillId="0" borderId="260" applyAlignment="1" pivotButton="0" quotePrefix="0" xfId="0">
      <alignment horizontal="justify" vertical="center" wrapText="1"/>
    </xf>
    <xf numFmtId="0" fontId="0" fillId="0" borderId="261" pivotButton="0" quotePrefix="0" xfId="0"/>
    <xf numFmtId="0" fontId="0" fillId="0" borderId="140" pivotButton="0" quotePrefix="0" xfId="0"/>
    <xf numFmtId="0" fontId="54" fillId="0" borderId="86" applyAlignment="1" pivotButton="0" quotePrefix="0" xfId="0">
      <alignment horizontal="distributed" vertical="center" wrapText="1"/>
    </xf>
    <xf numFmtId="0" fontId="60" fillId="14" borderId="215" applyAlignment="1" applyProtection="1" pivotButton="0" quotePrefix="0" xfId="0">
      <alignment horizontal="center" vertical="center" wrapText="1"/>
      <protection locked="1" hidden="1"/>
    </xf>
    <xf numFmtId="0" fontId="0" fillId="0" borderId="81" applyProtection="1" pivotButton="0" quotePrefix="0" xfId="0">
      <protection locked="1" hidden="1"/>
    </xf>
    <xf numFmtId="0" fontId="76" fillId="0" borderId="236" applyAlignment="1" applyProtection="1" pivotButton="0" quotePrefix="0" xfId="0">
      <alignment vertical="center" wrapText="1"/>
      <protection locked="1" hidden="1"/>
    </xf>
    <xf numFmtId="0" fontId="60" fillId="14" borderId="221" applyAlignment="1" applyProtection="1" pivotButton="0" quotePrefix="0" xfId="0">
      <alignment horizontal="center" vertical="center" wrapText="1"/>
      <protection locked="1" hidden="1"/>
    </xf>
    <xf numFmtId="0" fontId="0" fillId="0" borderId="82" applyProtection="1" pivotButton="0" quotePrefix="0" xfId="0">
      <protection locked="1" hidden="1"/>
    </xf>
    <xf numFmtId="0" fontId="0" fillId="0" borderId="131" applyProtection="1" pivotButton="0" quotePrefix="0" xfId="0">
      <protection locked="1" hidden="1"/>
    </xf>
    <xf numFmtId="0" fontId="60" fillId="0" borderId="222" applyAlignment="1" applyProtection="1" pivotButton="0" quotePrefix="0" xfId="0">
      <alignment vertical="center" wrapText="1"/>
      <protection locked="1" hidden="1"/>
    </xf>
    <xf numFmtId="0" fontId="0" fillId="0" borderId="48" applyProtection="1" pivotButton="0" quotePrefix="0" xfId="0">
      <protection locked="1" hidden="1"/>
    </xf>
    <xf numFmtId="0" fontId="60" fillId="0" borderId="232" applyAlignment="1" applyProtection="1" pivotButton="0" quotePrefix="0" xfId="0">
      <alignment horizontal="left" vertical="center" wrapText="1"/>
      <protection locked="1" hidden="1"/>
    </xf>
    <xf numFmtId="0" fontId="84" fillId="0" borderId="215" applyAlignment="1" applyProtection="1" pivotButton="0" quotePrefix="0" xfId="0">
      <alignment horizontal="center" vertical="center" wrapText="1"/>
      <protection locked="1" hidden="1"/>
    </xf>
    <xf numFmtId="0" fontId="81" fillId="0" borderId="236" applyAlignment="1" applyProtection="1" pivotButton="0" quotePrefix="0" xfId="0">
      <alignment vertical="center"/>
      <protection locked="1" hidden="1"/>
    </xf>
    <xf numFmtId="0" fontId="77" fillId="14" borderId="215" applyAlignment="1" applyProtection="1" pivotButton="0" quotePrefix="0" xfId="0">
      <alignment horizontal="center" vertical="center" wrapText="1"/>
      <protection locked="1" hidden="1"/>
    </xf>
    <xf numFmtId="0" fontId="80" fillId="0" borderId="236" applyAlignment="1" applyProtection="1" pivotButton="0" quotePrefix="0" xfId="0">
      <alignment vertical="center"/>
      <protection locked="1" hidden="1"/>
    </xf>
    <xf numFmtId="0" fontId="60" fillId="0" borderId="215" applyAlignment="1" applyProtection="1" pivotButton="0" quotePrefix="0" xfId="0">
      <alignment horizontal="center" vertical="center" wrapText="1"/>
      <protection locked="1" hidden="1"/>
    </xf>
    <xf numFmtId="0" fontId="77" fillId="14" borderId="269" applyAlignment="1" applyProtection="1" pivotButton="0" quotePrefix="0" xfId="0">
      <alignment horizontal="center" vertical="center" textRotation="255" wrapText="1"/>
      <protection locked="1" hidden="1"/>
    </xf>
    <xf numFmtId="0" fontId="0" fillId="0" borderId="72" applyProtection="1" pivotButton="0" quotePrefix="0" xfId="0">
      <protection locked="1" hidden="1"/>
    </xf>
    <xf numFmtId="0" fontId="0" fillId="0" borderId="132" applyProtection="1" pivotButton="0" quotePrefix="0" xfId="0">
      <protection locked="1" hidden="1"/>
    </xf>
    <xf numFmtId="0" fontId="76" fillId="0" borderId="79" applyAlignment="1" applyProtection="1" pivotButton="0" quotePrefix="0" xfId="0">
      <alignment vertical="center" wrapText="1"/>
      <protection locked="1" hidden="1"/>
    </xf>
    <xf numFmtId="0" fontId="0" fillId="0" borderId="73" applyProtection="1" pivotButton="0" quotePrefix="0" xfId="0">
      <protection locked="1" hidden="1"/>
    </xf>
    <xf numFmtId="0" fontId="79" fillId="0" borderId="236" applyAlignment="1" applyProtection="1" pivotButton="0" quotePrefix="0" xfId="0">
      <alignment vertical="center"/>
      <protection locked="1" hidden="1"/>
    </xf>
    <xf numFmtId="0" fontId="78" fillId="0" borderId="236" applyAlignment="1" applyProtection="1" pivotButton="0" quotePrefix="0" xfId="0">
      <alignment vertical="center"/>
      <protection locked="1" hidden="1"/>
    </xf>
    <xf numFmtId="0" fontId="77" fillId="14" borderId="226" applyAlignment="1" applyProtection="1" pivotButton="0" quotePrefix="0" xfId="0">
      <alignment horizontal="center" vertical="center" wrapText="1"/>
      <protection locked="1" hidden="1"/>
    </xf>
    <xf numFmtId="0" fontId="0" fillId="0" borderId="205" applyProtection="1" pivotButton="0" quotePrefix="0" xfId="0">
      <protection locked="1" hidden="1"/>
    </xf>
    <xf numFmtId="0" fontId="0" fillId="0" borderId="53" applyProtection="1" pivotButton="0" quotePrefix="0" xfId="0">
      <protection locked="1" hidden="1"/>
    </xf>
    <xf numFmtId="0" fontId="60" fillId="0" borderId="221" applyAlignment="1" applyProtection="1" pivotButton="0" quotePrefix="0" xfId="0">
      <alignment horizontal="center" vertical="center" wrapText="1"/>
      <protection locked="1" hidden="1"/>
    </xf>
    <xf numFmtId="0" fontId="84" fillId="0" borderId="221" applyAlignment="1" applyProtection="1" pivotButton="0" quotePrefix="0" xfId="0">
      <alignment horizontal="center" vertical="center" wrapText="1"/>
      <protection locked="1" hidden="1"/>
    </xf>
    <xf numFmtId="0" fontId="82" fillId="15" borderId="268" applyAlignment="1" applyProtection="1" pivotButton="0" quotePrefix="0" xfId="0">
      <alignment horizontal="center" vertical="center" wrapText="1"/>
      <protection locked="1" hidden="1"/>
    </xf>
    <xf numFmtId="0" fontId="85" fillId="0" borderId="271" applyAlignment="1" applyProtection="1" pivotButton="0" quotePrefix="0" xfId="0">
      <alignment horizontal="center" vertical="center" wrapText="1"/>
      <protection locked="1" hidden="1"/>
    </xf>
    <xf numFmtId="0" fontId="0" fillId="0" borderId="261" applyProtection="1" pivotButton="0" quotePrefix="0" xfId="0">
      <protection locked="1" hidden="1"/>
    </xf>
    <xf numFmtId="0" fontId="0" fillId="0" borderId="272" applyProtection="1" pivotButton="0" quotePrefix="0" xfId="0">
      <protection locked="1" hidden="1"/>
    </xf>
    <xf numFmtId="0" fontId="83" fillId="0" borderId="215" applyAlignment="1" applyProtection="1" pivotButton="0" quotePrefix="0" xfId="0">
      <alignment vertical="center" wrapText="1"/>
      <protection locked="1" hidden="1"/>
    </xf>
    <xf numFmtId="0" fontId="77" fillId="0" borderId="266" applyAlignment="1" applyProtection="1" pivotButton="0" quotePrefix="0" xfId="0">
      <alignment vertical="center"/>
      <protection locked="1" hidden="1"/>
    </xf>
    <xf numFmtId="0" fontId="0" fillId="0" borderId="194" applyProtection="1" pivotButton="0" quotePrefix="0" xfId="0">
      <protection locked="1" hidden="1"/>
    </xf>
    <xf numFmtId="0" fontId="0" fillId="0" borderId="267" applyProtection="1" pivotButton="0" quotePrefix="0" xfId="0">
      <protection locked="1" hidden="1"/>
    </xf>
    <xf numFmtId="0" fontId="78" fillId="0" borderId="222" applyAlignment="1" applyProtection="1" pivotButton="0" quotePrefix="0" xfId="0">
      <alignment vertical="center"/>
      <protection locked="1" hidden="1"/>
    </xf>
    <xf numFmtId="0" fontId="0" fillId="0" borderId="133" applyProtection="1" pivotButton="0" quotePrefix="0" xfId="0">
      <protection locked="1" hidden="1"/>
    </xf>
    <xf numFmtId="0" fontId="0" fillId="0" borderId="78" applyProtection="1" pivotButton="0" quotePrefix="0" xfId="0">
      <protection locked="1" hidden="1"/>
    </xf>
    <xf numFmtId="0" fontId="60" fillId="0" borderId="233" applyAlignment="1" applyProtection="1" pivotButton="0" quotePrefix="0" xfId="0">
      <alignment horizontal="left" vertical="center" wrapText="1"/>
      <protection locked="1" hidden="1"/>
    </xf>
    <xf numFmtId="0" fontId="0" fillId="0" borderId="210" applyProtection="1" pivotButton="0" quotePrefix="0" xfId="0">
      <protection locked="1" hidden="1"/>
    </xf>
    <xf numFmtId="0" fontId="0" fillId="0" borderId="234" applyProtection="1" pivotButton="0" quotePrefix="0" xfId="0">
      <protection locked="1" hidden="1"/>
    </xf>
    <xf numFmtId="0" fontId="77" fillId="14" borderId="223" applyAlignment="1" applyProtection="1" pivotButton="0" quotePrefix="0" xfId="0">
      <alignment horizontal="center" vertical="center" wrapText="1"/>
      <protection locked="1" hidden="1"/>
    </xf>
    <xf numFmtId="0" fontId="85" fillId="0" borderId="270" applyAlignment="1" applyProtection="1" pivotButton="0" quotePrefix="0" xfId="0">
      <alignment horizontal="center" vertical="center" wrapText="1"/>
      <protection locked="1" hidden="1"/>
    </xf>
    <xf numFmtId="0" fontId="0" fillId="0" borderId="134" applyProtection="1" pivotButton="0" quotePrefix="0" xfId="0">
      <protection locked="1" hidden="1"/>
    </xf>
    <xf numFmtId="0" fontId="60" fillId="16" borderId="270" applyAlignment="1" applyProtection="1" pivotButton="0" quotePrefix="0" xfId="0">
      <alignment horizontal="center" vertical="center" wrapText="1"/>
      <protection locked="1" hidden="1"/>
    </xf>
    <xf numFmtId="0" fontId="86" fillId="0" borderId="36" applyAlignment="1" applyProtection="1" pivotButton="0" quotePrefix="0" xfId="0">
      <alignment horizontal="center" vertical="center" wrapText="1"/>
      <protection locked="1" hidden="1"/>
    </xf>
    <xf numFmtId="0" fontId="0" fillId="0" borderId="36" applyProtection="1" pivotButton="0" quotePrefix="0" xfId="0">
      <protection locked="1" hidden="1"/>
    </xf>
    <xf numFmtId="0" fontId="76" fillId="0" borderId="233" applyAlignment="1" applyProtection="1" pivotButton="0" quotePrefix="0" xfId="0">
      <alignment vertical="center" wrapText="1"/>
      <protection locked="1" hidden="1"/>
    </xf>
    <xf numFmtId="0" fontId="60" fillId="0" borderId="79" applyAlignment="1" applyProtection="1" pivotButton="0" quotePrefix="0" xfId="0">
      <alignment horizontal="left" vertical="center" wrapText="1"/>
      <protection locked="1" hidden="1"/>
    </xf>
    <xf numFmtId="0" fontId="6" fillId="0" borderId="240" applyAlignment="1" pivotButton="0" quotePrefix="0" xfId="0">
      <alignment horizontal="left" vertical="center"/>
    </xf>
    <xf numFmtId="0" fontId="5" fillId="0" borderId="11" applyAlignment="1" pivotButton="0" quotePrefix="0" xfId="0">
      <alignment horizontal="left" vertical="top" wrapText="1"/>
    </xf>
    <xf numFmtId="0" fontId="6" fillId="0" borderId="276" applyAlignment="1" pivotButton="0" quotePrefix="0" xfId="0">
      <alignment horizontal="center" vertical="center" wrapText="1"/>
    </xf>
    <xf numFmtId="0" fontId="0" fillId="0" borderId="127" pivotButton="0" quotePrefix="0" xfId="0"/>
    <xf numFmtId="0" fontId="6" fillId="0" borderId="0" applyAlignment="1" pivotButton="0" quotePrefix="0" xfId="0">
      <alignment horizontal="left" vertical="center" wrapText="1" indent="15"/>
    </xf>
    <xf numFmtId="0" fontId="74" fillId="0" borderId="104" applyAlignment="1" pivotButton="0" quotePrefix="0" xfId="0">
      <alignment horizontal="center" vertical="center" wrapText="1"/>
    </xf>
    <xf numFmtId="0" fontId="0" fillId="0" borderId="274" pivotButton="0" quotePrefix="0" xfId="0"/>
    <xf numFmtId="0" fontId="31" fillId="0" borderId="97" applyAlignment="1" pivotButton="0" quotePrefix="0" xfId="0">
      <alignment horizontal="center" vertical="center" wrapText="1"/>
    </xf>
    <xf numFmtId="0" fontId="0" fillId="0" borderId="273" pivotButton="0" quotePrefix="0" xfId="0"/>
    <xf numFmtId="0" fontId="6" fillId="0" borderId="129" applyAlignment="1" pivotButton="0" quotePrefix="0" xfId="0">
      <alignment horizontal="center" vertical="center" wrapText="1"/>
    </xf>
    <xf numFmtId="0" fontId="0" fillId="0" borderId="111" pivotButton="0" quotePrefix="0" xfId="0"/>
    <xf numFmtId="0" fontId="24" fillId="0" borderId="5" applyAlignment="1" pivotButton="0" quotePrefix="0" xfId="0">
      <alignment horizontal="distributed" vertical="center"/>
    </xf>
    <xf numFmtId="0" fontId="68" fillId="0" borderId="11" applyAlignment="1" pivotButton="0" quotePrefix="0" xfId="0">
      <alignment vertical="center" wrapText="1"/>
    </xf>
    <xf numFmtId="0" fontId="31" fillId="0" borderId="102" applyAlignment="1" pivotButton="0" quotePrefix="0" xfId="0">
      <alignment horizontal="center" vertical="center" wrapText="1"/>
    </xf>
    <xf numFmtId="0" fontId="6" fillId="0" borderId="240" applyAlignment="1" pivotButton="0" quotePrefix="0" xfId="0">
      <alignment horizontal="center" vertical="center" wrapText="1"/>
    </xf>
    <xf numFmtId="0" fontId="6" fillId="0" borderId="25" applyAlignment="1" pivotButton="0" quotePrefix="0" xfId="0">
      <alignment horizontal="center" vertical="center" wrapText="1"/>
    </xf>
    <xf numFmtId="0" fontId="31" fillId="0" borderId="101" applyAlignment="1" pivotButton="0" quotePrefix="0" xfId="0">
      <alignment horizontal="center" vertical="center" wrapText="1"/>
    </xf>
    <xf numFmtId="0" fontId="5" fillId="0" borderId="0" applyAlignment="1" pivotButton="0" quotePrefix="0" xfId="0">
      <alignment horizontal="center" vertical="center" wrapText="1"/>
    </xf>
    <xf numFmtId="0" fontId="6" fillId="0" borderId="275" applyAlignment="1" pivotButton="0" quotePrefix="0" xfId="0">
      <alignment horizontal="center" vertical="center" wrapText="1"/>
    </xf>
    <xf numFmtId="0" fontId="0" fillId="0" borderId="93" pivotButton="0" quotePrefix="0" xfId="0"/>
    <xf numFmtId="0" fontId="37" fillId="0" borderId="0" applyAlignment="1" pivotButton="0" quotePrefix="0" xfId="0">
      <alignment horizontal="left"/>
    </xf>
    <xf numFmtId="0" fontId="5" fillId="0" borderId="25" applyAlignment="1" pivotButton="0" quotePrefix="0" xfId="0">
      <alignment horizontal="center" vertical="center" wrapText="1"/>
    </xf>
    <xf numFmtId="0" fontId="5" fillId="0" borderId="150" applyAlignment="1" pivotButton="0" quotePrefix="0" xfId="0">
      <alignment horizontal="left" vertical="center" wrapText="1"/>
    </xf>
    <xf numFmtId="0" fontId="0" fillId="0" borderId="278" pivotButton="0" quotePrefix="0" xfId="0"/>
    <xf numFmtId="0" fontId="0" fillId="0" borderId="277" pivotButton="0" quotePrefix="0" xfId="0"/>
    <xf numFmtId="0" fontId="5" fillId="0" borderId="209" applyAlignment="1" pivotButton="0" quotePrefix="0" xfId="0">
      <alignment horizontal="left" vertical="center" wrapText="1"/>
    </xf>
    <xf numFmtId="0" fontId="26" fillId="0" borderId="0" applyAlignment="1" pivotButton="0" quotePrefix="0" xfId="0">
      <alignment horizontal="distributed" vertical="center"/>
    </xf>
    <xf numFmtId="0" fontId="30" fillId="0" borderId="0" applyAlignment="1" pivotButton="0" quotePrefix="0" xfId="0">
      <alignment vertical="center"/>
    </xf>
    <xf numFmtId="0" fontId="5" fillId="0" borderId="80" applyAlignment="1" pivotButton="0" quotePrefix="0" xfId="0">
      <alignment horizontal="left" vertical="center" wrapText="1"/>
    </xf>
    <xf numFmtId="0" fontId="6" fillId="0" borderId="150" applyAlignment="1" pivotButton="0" quotePrefix="0" xfId="0">
      <alignment horizontal="center" vertical="center"/>
    </xf>
    <xf numFmtId="0" fontId="5" fillId="0" borderId="215" applyAlignment="1" pivotButton="0" quotePrefix="0" xfId="0">
      <alignment horizontal="left" vertical="center" wrapText="1"/>
    </xf>
    <xf numFmtId="0" fontId="6" fillId="0" borderId="218" applyAlignment="1" pivotButton="0" quotePrefix="0" xfId="0">
      <alignment horizontal="center" vertical="center"/>
    </xf>
    <xf numFmtId="0" fontId="5" fillId="0" borderId="83" applyAlignment="1" pivotButton="0" quotePrefix="0" xfId="0">
      <alignment horizontal="left" vertical="center"/>
    </xf>
    <xf numFmtId="0" fontId="5" fillId="0" borderId="82" applyAlignment="1" pivotButton="0" quotePrefix="0" xfId="0">
      <alignment horizontal="center" vertical="center" wrapText="1"/>
    </xf>
    <xf numFmtId="0" fontId="5" fillId="0" borderId="83" applyAlignment="1" pivotButton="0" quotePrefix="0" xfId="0">
      <alignment horizontal="left" vertical="center" wrapText="1"/>
    </xf>
    <xf numFmtId="0" fontId="5" fillId="0" borderId="201" applyAlignment="1" pivotButton="0" quotePrefix="0" xfId="0">
      <alignment horizontal="left" vertical="center"/>
    </xf>
    <xf numFmtId="0" fontId="5" fillId="0" borderId="0" applyAlignment="1" pivotButton="0" quotePrefix="0" xfId="0">
      <alignment horizontal="center" vertical="top" wrapText="1"/>
    </xf>
    <xf numFmtId="0" fontId="5" fillId="0" borderId="80" applyAlignment="1" pivotButton="0" quotePrefix="0" xfId="0">
      <alignment horizontal="left" vertical="center"/>
    </xf>
    <xf numFmtId="0" fontId="5" fillId="0" borderId="209" applyAlignment="1" pivotButton="0" quotePrefix="0" xfId="0">
      <alignment horizontal="left" vertical="top" wrapText="1"/>
    </xf>
    <xf numFmtId="0" fontId="6" fillId="0" borderId="150" applyAlignment="1" pivotButton="0" quotePrefix="0" xfId="0">
      <alignment horizontal="center" vertical="center" wrapText="1"/>
    </xf>
    <xf numFmtId="0" fontId="31" fillId="0" borderId="215" applyAlignment="1" pivotButton="0" quotePrefix="0" xfId="0">
      <alignment horizontal="center" vertical="center"/>
    </xf>
    <xf numFmtId="0" fontId="6" fillId="0" borderId="82" applyAlignment="1" pivotButton="0" quotePrefix="0" xfId="0">
      <alignment horizontal="left" vertical="center" wrapText="1"/>
    </xf>
    <xf numFmtId="0" fontId="5" fillId="0" borderId="215" applyAlignment="1" pivotButton="0" quotePrefix="0" xfId="0">
      <alignment horizontal="center" vertical="center"/>
    </xf>
    <xf numFmtId="0" fontId="37" fillId="0" borderId="0" applyAlignment="1" pivotButton="0" quotePrefix="0" xfId="0">
      <alignment horizontal="left" vertical="top" wrapText="1"/>
    </xf>
    <xf numFmtId="0" fontId="39" fillId="0" borderId="5" applyAlignment="1" pivotButton="0" quotePrefix="0" xfId="0">
      <alignment vertical="center" wrapText="1"/>
    </xf>
    <xf numFmtId="0" fontId="60" fillId="0" borderId="10" applyAlignment="1" pivotButton="0" quotePrefix="0" xfId="0">
      <alignment horizontal="justify" vertical="center" wrapText="1"/>
    </xf>
    <xf numFmtId="0" fontId="60" fillId="0" borderId="18" applyAlignment="1" pivotButton="0" quotePrefix="0" xfId="0">
      <alignment horizontal="left" vertical="center" wrapText="1"/>
    </xf>
    <xf numFmtId="0" fontId="5" fillId="0" borderId="50" applyAlignment="1" pivotButton="0" quotePrefix="0" xfId="0">
      <alignment horizontal="distributed" vertical="center" wrapText="1"/>
    </xf>
    <xf numFmtId="0" fontId="34" fillId="11" borderId="5" applyAlignment="1" pivotButton="0" quotePrefix="0" xfId="0">
      <alignment horizontal="center" vertical="center" wrapText="1"/>
    </xf>
    <xf numFmtId="0" fontId="65" fillId="0" borderId="279" applyAlignment="1" pivotButton="0" quotePrefix="0" xfId="0">
      <alignment horizontal="center" vertical="center" wrapText="1"/>
    </xf>
    <xf numFmtId="0" fontId="0" fillId="0" borderId="208" pivotButton="0" quotePrefix="0" xfId="0"/>
    <xf numFmtId="0" fontId="39" fillId="0" borderId="11" applyAlignment="1" pivotButton="0" quotePrefix="0" xfId="0">
      <alignment vertical="center" wrapText="1"/>
    </xf>
    <xf numFmtId="0" fontId="56" fillId="0" borderId="5" applyAlignment="1" pivotButton="0" quotePrefix="0" xfId="0">
      <alignment horizontal="left" vertical="center" wrapText="1"/>
    </xf>
    <xf numFmtId="0" fontId="34" fillId="0" borderId="70" applyAlignment="1" pivotButton="0" quotePrefix="0" xfId="0">
      <alignment vertical="center" wrapText="1"/>
    </xf>
    <xf numFmtId="0" fontId="0" fillId="0" borderId="282" pivotButton="0" quotePrefix="0" xfId="0"/>
    <xf numFmtId="0" fontId="0" fillId="0" borderId="91" pivotButton="0" quotePrefix="0" xfId="0"/>
    <xf numFmtId="0" fontId="24" fillId="11" borderId="13" applyAlignment="1" pivotButton="0" quotePrefix="0" xfId="0">
      <alignment horizontal="center" vertical="center" wrapText="1"/>
    </xf>
    <xf numFmtId="0" fontId="58" fillId="0" borderId="5" applyAlignment="1" pivotButton="0" quotePrefix="0" xfId="0">
      <alignment horizontal="center" vertical="center" wrapText="1"/>
    </xf>
    <xf numFmtId="0" fontId="60" fillId="0" borderId="18" applyAlignment="1" pivotButton="0" quotePrefix="0" xfId="0">
      <alignment horizontal="justify" vertical="center" wrapText="1"/>
    </xf>
    <xf numFmtId="0" fontId="31" fillId="13" borderId="11" applyAlignment="1" pivotButton="0" quotePrefix="0" xfId="0">
      <alignment vertical="center" wrapText="1"/>
    </xf>
    <xf numFmtId="0" fontId="24" fillId="11" borderId="29" applyAlignment="1" pivotButton="0" quotePrefix="0" xfId="0">
      <alignment horizontal="center" vertical="center" wrapText="1"/>
    </xf>
    <xf numFmtId="0" fontId="5" fillId="0" borderId="62" applyAlignment="1" pivotButton="0" quotePrefix="0" xfId="0">
      <alignment vertical="center" wrapText="1"/>
    </xf>
    <xf numFmtId="0" fontId="60" fillId="0" borderId="16" applyAlignment="1" pivotButton="0" quotePrefix="0" xfId="0">
      <alignment vertical="center" wrapText="1"/>
    </xf>
    <xf numFmtId="0" fontId="60" fillId="0" borderId="25" applyAlignment="1" pivotButton="0" quotePrefix="0" xfId="0">
      <alignment vertical="center" wrapText="1"/>
    </xf>
    <xf numFmtId="0" fontId="64" fillId="12" borderId="61" applyAlignment="1" pivotButton="0" quotePrefix="0" xfId="0">
      <alignment vertical="center" wrapText="1"/>
    </xf>
    <xf numFmtId="0" fontId="5" fillId="0" borderId="16" applyAlignment="1" pivotButton="0" quotePrefix="0" xfId="0">
      <alignment vertical="center" wrapText="1"/>
    </xf>
    <xf numFmtId="0" fontId="62" fillId="0" borderId="281" applyAlignment="1" pivotButton="0" quotePrefix="0" xfId="0">
      <alignment horizontal="left" vertical="center" wrapText="1"/>
    </xf>
    <xf numFmtId="0" fontId="57" fillId="0" borderId="5" applyAlignment="1" pivotButton="0" quotePrefix="0" xfId="0">
      <alignment horizontal="left" vertical="center" wrapText="1"/>
    </xf>
    <xf numFmtId="0" fontId="0" fillId="11" borderId="29" applyAlignment="1" pivotButton="0" quotePrefix="0" xfId="0">
      <alignment vertical="center" wrapText="1"/>
    </xf>
    <xf numFmtId="0" fontId="66" fillId="13" borderId="25" applyAlignment="1" pivotButton="0" quotePrefix="0" xfId="0">
      <alignment vertical="center" wrapText="1"/>
    </xf>
    <xf numFmtId="0" fontId="59" fillId="0" borderId="50" applyAlignment="1" pivotButton="0" quotePrefix="0" xfId="0">
      <alignment horizontal="distributed" vertical="center" wrapText="1"/>
    </xf>
    <xf numFmtId="0" fontId="66" fillId="13" borderId="27" applyAlignment="1" pivotButton="0" quotePrefix="0" xfId="0">
      <alignment horizontal="center" vertical="center" wrapText="1"/>
    </xf>
    <xf numFmtId="0" fontId="61" fillId="0" borderId="0" applyAlignment="1" pivotButton="0" quotePrefix="0" xfId="0">
      <alignment vertical="center" wrapText="1"/>
    </xf>
    <xf numFmtId="0" fontId="63" fillId="0" borderId="214" applyAlignment="1" pivotButton="0" quotePrefix="0" xfId="0">
      <alignment horizontal="left" vertical="center" wrapText="1"/>
    </xf>
    <xf numFmtId="0" fontId="0" fillId="0" borderId="107" pivotButton="0" quotePrefix="0" xfId="0"/>
    <xf numFmtId="0" fontId="67" fillId="14" borderId="5" applyAlignment="1" pivotButton="0" quotePrefix="0" xfId="0">
      <alignment horizontal="center" vertical="center" wrapText="1"/>
    </xf>
    <xf numFmtId="0" fontId="63" fillId="0" borderId="11" applyAlignment="1" pivotButton="0" quotePrefix="0" xfId="0">
      <alignment vertical="center" wrapText="1"/>
    </xf>
    <xf numFmtId="0" fontId="60" fillId="0" borderId="14" applyAlignment="1" pivotButton="0" quotePrefix="0" xfId="0">
      <alignment horizontal="justify" vertical="center" wrapText="1"/>
    </xf>
    <xf numFmtId="0" fontId="58" fillId="0" borderId="0" applyAlignment="1" pivotButton="0" quotePrefix="0" xfId="0">
      <alignment horizontal="center" vertical="center"/>
    </xf>
    <xf numFmtId="0" fontId="60" fillId="0" borderId="14" applyAlignment="1" pivotButton="0" quotePrefix="0" xfId="0">
      <alignment horizontal="left" vertical="center" wrapText="1"/>
    </xf>
    <xf numFmtId="0" fontId="60" fillId="0" borderId="280" applyAlignment="1" pivotButton="0" quotePrefix="0" xfId="0">
      <alignment vertical="center" wrapText="1"/>
    </xf>
    <xf numFmtId="0" fontId="0" fillId="0" borderId="280" pivotButton="0" quotePrefix="0" xfId="0"/>
    <xf numFmtId="0" fontId="5" fillId="0" borderId="19" applyAlignment="1" pivotButton="0" quotePrefix="0" xfId="0">
      <alignment horizontal="left" vertical="center"/>
    </xf>
    <xf numFmtId="0" fontId="5" fillId="0" borderId="25" applyAlignment="1" pivotButton="0" quotePrefix="0" xfId="0">
      <alignment horizontal="left" vertical="center"/>
    </xf>
    <xf numFmtId="0" fontId="5" fillId="0" borderId="5" applyAlignment="1" pivotButton="0" quotePrefix="0" xfId="0">
      <alignment horizontal="center" vertical="top"/>
    </xf>
    <xf numFmtId="0" fontId="5" fillId="0" borderId="5" applyAlignment="1" pivotButton="0" quotePrefix="0" xfId="0">
      <alignment horizontal="left" vertical="center"/>
    </xf>
    <xf numFmtId="0" fontId="5" fillId="0" borderId="13" applyAlignment="1" pivotButton="0" quotePrefix="0" xfId="0">
      <alignment horizontal="left" vertical="center"/>
    </xf>
    <xf numFmtId="0" fontId="5" fillId="0" borderId="18" applyAlignment="1" pivotButton="0" quotePrefix="0" xfId="0">
      <alignment horizontal="left" vertical="center"/>
    </xf>
    <xf numFmtId="0" fontId="69" fillId="0" borderId="11" applyAlignment="1" pivotButton="0" quotePrefix="0" xfId="0">
      <alignment horizontal="center" vertical="center"/>
    </xf>
    <xf numFmtId="0" fontId="45" fillId="0" borderId="5" applyAlignment="1" pivotButton="0" quotePrefix="0" xfId="0">
      <alignment horizontal="left" vertical="top"/>
    </xf>
    <xf numFmtId="0" fontId="5" fillId="0" borderId="11" applyAlignment="1" pivotButton="0" quotePrefix="0" xfId="0">
      <alignment horizontal="left" vertical="center"/>
    </xf>
    <xf numFmtId="0" fontId="5" fillId="0" borderId="5" applyAlignment="1" pivotButton="0" quotePrefix="0" xfId="0">
      <alignment horizontal="center" vertical="distributed" textRotation="255"/>
    </xf>
    <xf numFmtId="0" fontId="5" fillId="0" borderId="0" applyAlignment="1" pivotButton="0" quotePrefix="0" xfId="0">
      <alignment horizontal="left" vertical="center" indent="3"/>
    </xf>
    <xf numFmtId="0" fontId="5" fillId="0" borderId="29" applyAlignment="1" pivotButton="0" quotePrefix="0" xfId="0">
      <alignment horizontal="left" vertical="center"/>
    </xf>
    <xf numFmtId="0" fontId="5" fillId="0" borderId="5" applyAlignment="1" pivotButton="0" quotePrefix="0" xfId="0">
      <alignment horizontal="left" vertical="top" wrapText="1"/>
    </xf>
    <xf numFmtId="0" fontId="5" fillId="0" borderId="20" applyAlignment="1" pivotButton="0" quotePrefix="0" xfId="0">
      <alignment horizontal="left" vertical="center"/>
    </xf>
    <xf numFmtId="0" fontId="5" fillId="0" borderId="13" applyAlignment="1" pivotButton="0" quotePrefix="0" xfId="0">
      <alignment horizontal="center"/>
    </xf>
    <xf numFmtId="0" fontId="5" fillId="0" borderId="26" applyAlignment="1" pivotButton="0" quotePrefix="0" xfId="0">
      <alignment horizontal="left" vertical="center"/>
    </xf>
    <xf numFmtId="0" fontId="5" fillId="0" borderId="11" applyAlignment="1" pivotButton="0" quotePrefix="0" xfId="0">
      <alignment horizontal="left" vertical="center" wrapText="1"/>
    </xf>
    <xf numFmtId="0" fontId="0" fillId="0" borderId="11" applyAlignment="1" pivotButton="0" quotePrefix="0" xfId="0">
      <alignment horizontal="center" vertical="center"/>
    </xf>
    <xf numFmtId="0" fontId="107" fillId="12" borderId="70" applyAlignment="1" pivotButton="0" quotePrefix="0" xfId="0">
      <alignment horizontal="center" vertical="center" wrapText="1"/>
    </xf>
    <xf numFmtId="0" fontId="24" fillId="11" borderId="11" applyAlignment="1" pivotButton="0" quotePrefix="0" xfId="0">
      <alignment horizontal="center" vertical="top" wrapText="1"/>
    </xf>
    <xf numFmtId="0" fontId="60" fillId="0" borderId="5" applyAlignment="1" pivotButton="0" quotePrefix="0" xfId="0">
      <alignment horizontal="justify" vertical="center" wrapText="1"/>
    </xf>
    <xf numFmtId="0" fontId="108" fillId="5" borderId="215" applyAlignment="1" pivotButton="0" quotePrefix="0" xfId="0">
      <alignment horizontal="left" vertical="distributed" wrapText="1"/>
    </xf>
    <xf numFmtId="0" fontId="58" fillId="11" borderId="5" applyAlignment="1" pivotButton="0" quotePrefix="0" xfId="0">
      <alignment horizontal="center" vertical="center" wrapText="1"/>
    </xf>
    <xf numFmtId="0" fontId="66" fillId="12" borderId="8" applyAlignment="1" pivotButton="0" quotePrefix="0" xfId="0">
      <alignment horizontal="center" vertical="center"/>
    </xf>
    <xf numFmtId="0" fontId="5" fillId="0" borderId="70" applyAlignment="1" pivotButton="0" quotePrefix="0" xfId="0">
      <alignment horizontal="left" vertical="center" wrapText="1"/>
    </xf>
    <xf numFmtId="0" fontId="105" fillId="11" borderId="5" applyAlignment="1" pivotButton="0" quotePrefix="0" xfId="0">
      <alignment horizontal="center" vertical="center" wrapText="1"/>
    </xf>
    <xf numFmtId="0" fontId="58" fillId="14" borderId="5" applyAlignment="1" pivotButton="0" quotePrefix="0" xfId="0">
      <alignment vertical="center" wrapText="1"/>
    </xf>
    <xf numFmtId="0" fontId="72" fillId="11" borderId="25" applyAlignment="1" pivotButton="0" quotePrefix="0" xfId="0">
      <alignment horizontal="left" vertical="center" wrapText="1"/>
    </xf>
    <xf numFmtId="0" fontId="5" fillId="11" borderId="5" applyAlignment="1" pivotButton="0" quotePrefix="0" xfId="0">
      <alignment horizontal="left" vertical="center" wrapText="1"/>
    </xf>
    <xf numFmtId="0" fontId="5" fillId="0" borderId="283" applyAlignment="1" pivotButton="0" quotePrefix="0" xfId="0">
      <alignment horizontal="left" vertical="center" wrapText="1"/>
    </xf>
    <xf numFmtId="0" fontId="7" fillId="0" borderId="74" applyAlignment="1" pivotButton="0" quotePrefix="0" xfId="0">
      <alignment horizontal="left" vertical="center" wrapText="1"/>
    </xf>
    <xf numFmtId="0" fontId="30" fillId="0" borderId="63" applyAlignment="1" pivotButton="0" quotePrefix="0" xfId="0">
      <alignment horizontal="left" vertical="top" wrapText="1"/>
    </xf>
    <xf numFmtId="0" fontId="0" fillId="0" borderId="60" pivotButton="0" quotePrefix="0" xfId="0"/>
    <xf numFmtId="0" fontId="30" fillId="0" borderId="63" applyAlignment="1" pivotButton="0" quotePrefix="0" xfId="0">
      <alignment horizontal="center" vertical="center"/>
    </xf>
    <xf numFmtId="0" fontId="30" fillId="0" borderId="63" applyAlignment="1" pivotButton="0" quotePrefix="0" xfId="0">
      <alignment horizontal="left" vertical="center"/>
    </xf>
    <xf numFmtId="173" fontId="5" fillId="0" borderId="284" applyAlignment="1" pivotButton="0" quotePrefix="0" xfId="0">
      <alignment horizontal="distributed" vertical="center"/>
    </xf>
    <xf numFmtId="0" fontId="0" fillId="0" borderId="284" pivotButton="0" quotePrefix="0" xfId="0"/>
    <xf numFmtId="0" fontId="24" fillId="0" borderId="96" applyAlignment="1" pivotButton="0" quotePrefix="0" xfId="0">
      <alignment horizontal="left" vertical="center" shrinkToFit="1"/>
    </xf>
    <xf numFmtId="0" fontId="0" fillId="0" borderId="94" pivotButton="0" quotePrefix="0" xfId="0"/>
    <xf numFmtId="0" fontId="5" fillId="0" borderId="90" applyAlignment="1" pivotButton="0" quotePrefix="0" xfId="0">
      <alignment horizontal="center" vertical="center" wrapText="1"/>
    </xf>
    <xf numFmtId="0" fontId="0" fillId="0" borderId="95" pivotButton="0" quotePrefix="0" xfId="0"/>
    <xf numFmtId="0" fontId="24" fillId="0" borderId="222" applyAlignment="1" pivotButton="0" quotePrefix="0" xfId="0">
      <alignment horizontal="center" vertical="center" wrapText="1"/>
    </xf>
    <xf numFmtId="0" fontId="47" fillId="0" borderId="25" applyAlignment="1" pivotButton="0" quotePrefix="0" xfId="0">
      <alignment horizontal="left" vertical="center" shrinkToFit="1"/>
    </xf>
    <xf numFmtId="0" fontId="24" fillId="0" borderId="222" applyAlignment="1" pivotButton="0" quotePrefix="0" xfId="0">
      <alignment horizontal="center" vertical="top" wrapText="1"/>
    </xf>
    <xf numFmtId="0" fontId="47" fillId="0" borderId="69" applyAlignment="1" pivotButton="0" quotePrefix="0" xfId="0">
      <alignment horizontal="left" vertical="center" shrinkToFit="1"/>
    </xf>
    <xf numFmtId="0" fontId="24" fillId="0" borderId="41" applyAlignment="1" pivotButton="0" quotePrefix="0" xfId="0">
      <alignment horizontal="left" vertical="top" wrapText="1"/>
    </xf>
    <xf numFmtId="0" fontId="0" fillId="0" borderId="286" pivotButton="0" quotePrefix="0" xfId="0"/>
    <xf numFmtId="0" fontId="24" fillId="0" borderId="101" applyAlignment="1" pivotButton="0" quotePrefix="0" xfId="0">
      <alignment horizontal="center" vertical="center" wrapText="1"/>
    </xf>
    <xf numFmtId="0" fontId="5" fillId="0" borderId="285" applyAlignment="1" pivotButton="0" quotePrefix="0" xfId="0">
      <alignment horizontal="left" vertical="center" wrapText="1"/>
    </xf>
    <xf numFmtId="0" fontId="0" fillId="0" borderId="87" pivotButton="0" quotePrefix="0" xfId="0"/>
    <xf numFmtId="0" fontId="24" fillId="0" borderId="38" applyAlignment="1" pivotButton="0" quotePrefix="0" xfId="0">
      <alignment horizontal="left" vertical="top" wrapText="1"/>
    </xf>
    <xf numFmtId="0" fontId="2" fillId="0" borderId="6" applyAlignment="1" pivotButton="0" quotePrefix="0" xfId="0">
      <alignment horizontal="center" vertical="center" wrapText="1"/>
    </xf>
    <xf numFmtId="0" fontId="0" fillId="0" borderId="15" pivotButton="0" quotePrefix="0" xfId="0"/>
    <xf numFmtId="0" fontId="2" fillId="0" borderId="5" applyAlignment="1" pivotButton="0" quotePrefix="0" xfId="0">
      <alignment vertical="center"/>
    </xf>
    <xf numFmtId="0" fontId="2" fillId="0" borderId="5" applyAlignment="1" pivotButton="0" quotePrefix="0" xfId="0">
      <alignment horizontal="distributed" vertical="center"/>
    </xf>
    <xf numFmtId="0" fontId="2" fillId="0" borderId="12" applyAlignment="1" pivotButton="0" quotePrefix="0" xfId="0">
      <alignment horizontal="center" vertical="center"/>
    </xf>
    <xf numFmtId="0" fontId="2" fillId="0" borderId="4" applyAlignment="1" pivotButton="0" quotePrefix="0" xfId="0">
      <alignment horizontal="distributed" vertical="center"/>
    </xf>
    <xf numFmtId="0" fontId="0" fillId="0" borderId="7" pivotButton="0" quotePrefix="0" xfId="0"/>
    <xf numFmtId="0" fontId="2" fillId="0" borderId="21" applyAlignment="1" pivotButton="0" quotePrefix="0" xfId="0">
      <alignment vertical="center"/>
    </xf>
    <xf numFmtId="0" fontId="0" fillId="0" borderId="289" pivotButton="0" quotePrefix="0" xfId="0"/>
    <xf numFmtId="0" fontId="0" fillId="0" borderId="290" pivotButton="0" quotePrefix="0" xfId="0"/>
    <xf numFmtId="0" fontId="2" fillId="0" borderId="6" applyAlignment="1" pivotButton="0" quotePrefix="0" xfId="0">
      <alignment horizontal="center" vertical="center"/>
    </xf>
    <xf numFmtId="0" fontId="0" fillId="0" borderId="17" pivotButton="0" quotePrefix="0" xfId="0"/>
    <xf numFmtId="0" fontId="23" fillId="0" borderId="0" applyAlignment="1" pivotButton="0" quotePrefix="0" xfId="0">
      <alignment horizontal="distributed" vertical="center"/>
    </xf>
    <xf numFmtId="0" fontId="4" fillId="0" borderId="0" applyAlignment="1" pivotButton="0" quotePrefix="0" xfId="0">
      <alignment horizontal="distributed" vertical="center"/>
    </xf>
    <xf numFmtId="0" fontId="2" fillId="0" borderId="21" applyAlignment="1" pivotButton="0" quotePrefix="0" xfId="0">
      <alignment horizontal="center" vertical="center" wrapText="1"/>
    </xf>
    <xf numFmtId="0" fontId="2" fillId="0" borderId="1" applyAlignment="1" pivotButton="0" quotePrefix="0" xfId="0">
      <alignment vertical="center" wrapText="1"/>
    </xf>
    <xf numFmtId="0" fontId="0" fillId="0" borderId="287" pivotButton="0" quotePrefix="0" xfId="0"/>
    <xf numFmtId="0" fontId="0" fillId="0" borderId="288" pivotButton="0" quotePrefix="0" xfId="0"/>
    <xf numFmtId="0" fontId="2" fillId="0" borderId="2" applyAlignment="1" pivotButton="0" quotePrefix="0" xfId="0">
      <alignment horizontal="center" vertical="center" wrapText="1"/>
    </xf>
    <xf numFmtId="0" fontId="2" fillId="0" borderId="0" applyAlignment="1" pivotButton="0" quotePrefix="0" xfId="0">
      <alignment vertical="center"/>
    </xf>
    <xf numFmtId="165" fontId="0" fillId="0" borderId="5" applyAlignment="1" pivotButton="0" quotePrefix="0" xfId="0">
      <alignment horizontal="center" vertical="center"/>
    </xf>
    <xf numFmtId="0" fontId="2" fillId="0" borderId="24" applyAlignment="1" pivotButton="0" quotePrefix="0" xfId="0">
      <alignment horizontal="center" vertical="center"/>
    </xf>
    <xf numFmtId="0" fontId="24" fillId="0" borderId="5" applyAlignment="1" pivotButton="0" quotePrefix="0" xfId="0">
      <alignment horizontal="left" vertical="center" wrapText="1"/>
    </xf>
    <xf numFmtId="0" fontId="5" fillId="0" borderId="105" applyAlignment="1" pivotButton="0" quotePrefix="0" xfId="0">
      <alignment horizontal="left" vertical="center" wrapText="1"/>
    </xf>
    <xf numFmtId="0" fontId="0" fillId="0" borderId="291" pivotButton="0" quotePrefix="0" xfId="0"/>
    <xf numFmtId="0" fontId="34" fillId="0" borderId="5" applyAlignment="1" pivotButton="0" quotePrefix="0" xfId="0">
      <alignment horizontal="left" vertical="center" wrapText="1"/>
    </xf>
    <xf numFmtId="0" fontId="24" fillId="0" borderId="97" applyAlignment="1" pivotButton="0" quotePrefix="0" xfId="0">
      <alignment horizontal="center" vertical="center" wrapText="1"/>
    </xf>
    <xf numFmtId="0" fontId="31" fillId="0" borderId="5" applyAlignment="1" pivotButton="0" quotePrefix="0" xfId="0">
      <alignment horizontal="center" vertical="center" wrapText="1"/>
    </xf>
    <xf numFmtId="0" fontId="31" fillId="0" borderId="5" applyAlignment="1" pivotButton="0" quotePrefix="0" xfId="0">
      <alignment horizontal="left" vertical="center" wrapText="1"/>
    </xf>
    <xf numFmtId="164" fontId="5" fillId="5" borderId="5" applyAlignment="1" pivotButton="0" quotePrefix="1" xfId="0">
      <alignment horizontal="center" vertical="center" wrapText="1"/>
    </xf>
    <xf numFmtId="164" fontId="5" fillId="0" borderId="5" applyAlignment="1" pivotButton="0" quotePrefix="0" xfId="0">
      <alignment horizontal="center" vertical="center"/>
    </xf>
    <xf numFmtId="164" fontId="5" fillId="5" borderId="0" applyAlignment="1" pivotButton="0" quotePrefix="1" xfId="0">
      <alignment vertical="center"/>
    </xf>
    <xf numFmtId="164" fontId="5" fillId="5" borderId="5" applyAlignment="1" pivotButton="0" quotePrefix="0" xfId="0">
      <alignment horizontal="center" vertical="center"/>
    </xf>
    <xf numFmtId="165" fontId="5" fillId="0" borderId="5" applyAlignment="1" pivotButton="0" quotePrefix="0" xfId="0">
      <alignment horizontal="center" vertical="center" wrapText="1"/>
    </xf>
    <xf numFmtId="165" fontId="71" fillId="0" borderId="0" applyAlignment="1" pivotButton="0" quotePrefix="0" xfId="2">
      <alignment horizontal="center" vertical="center" wrapText="1"/>
    </xf>
    <xf numFmtId="164" fontId="5" fillId="5" borderId="0" applyAlignment="1" pivotButton="0" quotePrefix="1" xfId="0">
      <alignment horizontal="center" vertical="center"/>
    </xf>
    <xf numFmtId="165" fontId="5" fillId="5" borderId="0" applyAlignment="1" pivotButton="0" quotePrefix="0" xfId="0">
      <alignment vertical="center"/>
    </xf>
    <xf numFmtId="164" fontId="5" fillId="5" borderId="0" applyAlignment="1" pivotButton="0" quotePrefix="0" xfId="0">
      <alignment horizontal="center" vertical="center"/>
    </xf>
    <xf numFmtId="166" fontId="6" fillId="20" borderId="5" applyAlignment="1" pivotButton="0" quotePrefix="0" xfId="0">
      <alignment vertical="center"/>
    </xf>
    <xf numFmtId="167" fontId="53" fillId="20" borderId="5" applyAlignment="1" pivotButton="0" quotePrefix="0" xfId="0">
      <alignment horizontal="center" vertical="center"/>
    </xf>
    <xf numFmtId="168" fontId="6" fillId="20" borderId="5" applyAlignment="1" pivotButton="0" quotePrefix="0" xfId="0">
      <alignment horizontal="center" vertical="center"/>
    </xf>
    <xf numFmtId="165" fontId="6" fillId="20" borderId="9" applyAlignment="1" pivotButton="0" quotePrefix="0" xfId="0">
      <alignment vertical="center" wrapText="1"/>
    </xf>
    <xf numFmtId="165" fontId="6" fillId="0" borderId="16" applyAlignment="1" pivotButton="0" quotePrefix="0" xfId="0">
      <alignment vertical="center" wrapText="1"/>
    </xf>
    <xf numFmtId="166" fontId="6" fillId="0" borderId="11" applyAlignment="1" pivotButton="0" quotePrefix="0" xfId="0">
      <alignment horizontal="center" vertical="center"/>
    </xf>
    <xf numFmtId="167" fontId="6" fillId="0" borderId="11" applyAlignment="1" pivotButton="0" quotePrefix="0" xfId="0">
      <alignment horizontal="center" vertical="center"/>
    </xf>
    <xf numFmtId="168" fontId="6" fillId="6" borderId="5" applyAlignment="1" pivotButton="0" quotePrefix="0" xfId="0">
      <alignment horizontal="center" vertical="center"/>
    </xf>
    <xf numFmtId="166" fontId="6" fillId="20" borderId="5" applyAlignment="1" pivotButton="0" quotePrefix="0" xfId="0">
      <alignment horizontal="center" vertical="center"/>
    </xf>
    <xf numFmtId="167" fontId="6" fillId="20" borderId="5" applyAlignment="1" pivotButton="0" quotePrefix="0" xfId="0">
      <alignment horizontal="center" vertical="center"/>
    </xf>
    <xf numFmtId="165" fontId="6" fillId="5" borderId="9" applyAlignment="1" pivotButton="0" quotePrefix="0" xfId="0">
      <alignment vertical="center" wrapText="1"/>
    </xf>
    <xf numFmtId="166" fontId="6" fillId="0" borderId="5" applyAlignment="1" pivotButton="0" quotePrefix="0" xfId="0">
      <alignment horizontal="center" vertical="center"/>
    </xf>
    <xf numFmtId="167" fontId="6" fillId="0" borderId="5" applyAlignment="1" pivotButton="0" quotePrefix="0" xfId="0">
      <alignment horizontal="center" vertical="center"/>
    </xf>
    <xf numFmtId="165" fontId="6" fillId="5" borderId="0" applyAlignment="1" pivotButton="0" quotePrefix="0" xfId="0">
      <alignment vertical="center" wrapText="1"/>
    </xf>
    <xf numFmtId="169" fontId="5" fillId="0" borderId="5" applyAlignment="1" pivotButton="0" quotePrefix="0" xfId="0">
      <alignment horizontal="center" vertical="center" wrapText="1"/>
    </xf>
    <xf numFmtId="166" fontId="5" fillId="0" borderId="0" applyAlignment="1" pivotButton="0" quotePrefix="0" xfId="0">
      <alignment vertical="center"/>
    </xf>
    <xf numFmtId="168" fontId="6" fillId="5" borderId="0" applyAlignment="1" pivotButton="0" quotePrefix="0" xfId="0">
      <alignment horizontal="center" vertical="center"/>
    </xf>
    <xf numFmtId="164" fontId="2" fillId="0" borderId="8" applyAlignment="1" applyProtection="1" pivotButton="0" quotePrefix="0" xfId="1">
      <alignment horizontal="distributed" vertical="center"/>
      <protection locked="1" hidden="1"/>
    </xf>
    <xf numFmtId="173" fontId="30" fillId="0" borderId="48" applyAlignment="1" pivotButton="0" quotePrefix="0" xfId="0">
      <alignment horizontal="center" vertical="center"/>
    </xf>
    <xf numFmtId="173" fontId="30" fillId="0" borderId="10" applyAlignment="1" pivotButton="0" quotePrefix="0" xfId="0">
      <alignment horizontal="distributed" vertical="center"/>
    </xf>
    <xf numFmtId="170" fontId="5" fillId="0" borderId="0" applyAlignment="1" pivotButton="0" quotePrefix="0" xfId="0">
      <alignment horizontal="left" vertical="center"/>
    </xf>
    <xf numFmtId="170" fontId="5" fillId="0" borderId="0" applyAlignment="1" pivotButton="0" quotePrefix="0" xfId="0">
      <alignment vertical="center"/>
    </xf>
    <xf numFmtId="173" fontId="26" fillId="0" borderId="5" applyAlignment="1" pivotButton="0" quotePrefix="0" xfId="0">
      <alignment horizontal="distributed" vertical="center"/>
    </xf>
    <xf numFmtId="164" fontId="31" fillId="0" borderId="0" applyAlignment="1" pivotButton="0" quotePrefix="0" xfId="0">
      <alignment horizontal="center" vertical="top" wrapText="1"/>
    </xf>
    <xf numFmtId="171" fontId="31" fillId="0" borderId="0" applyAlignment="1" pivotButton="0" quotePrefix="0" xfId="0">
      <alignment vertical="top"/>
    </xf>
    <xf numFmtId="174" fontId="5" fillId="0" borderId="218" applyAlignment="1" pivotButton="0" quotePrefix="0" xfId="0">
      <alignment horizontal="center" vertical="center" wrapText="1"/>
    </xf>
    <xf numFmtId="0" fontId="6" fillId="0" borderId="246" applyAlignment="1" pivotButton="0" quotePrefix="0" xfId="0">
      <alignment horizontal="center" vertical="center"/>
    </xf>
    <xf numFmtId="175" fontId="55" fillId="0" borderId="8" applyAlignment="1" pivotButton="0" quotePrefix="0" xfId="0">
      <alignment horizontal="center" vertical="center"/>
    </xf>
    <xf numFmtId="172" fontId="5" fillId="0" borderId="82" applyAlignment="1" pivotButton="0" quotePrefix="0" xfId="0">
      <alignment horizontal="center" vertical="center" wrapText="1"/>
    </xf>
    <xf numFmtId="173" fontId="5" fillId="0" borderId="284" applyAlignment="1" pivotButton="0" quotePrefix="0" xfId="0">
      <alignment horizontal="distributed" vertical="center"/>
    </xf>
    <xf numFmtId="165" fontId="0" fillId="0" borderId="5" applyAlignment="1" pivotButton="0" quotePrefix="0" xfId="0">
      <alignment horizontal="center" vertical="center"/>
    </xf>
  </cellXfs>
  <cellStyles count="4">
    <cellStyle name="一般" xfId="0" builtinId="0"/>
    <cellStyle name="一般 2" xfId="1"/>
    <cellStyle name="超連結" xfId="2" builtinId="8"/>
    <cellStyle name="一般 3" xfId="3"/>
  </cellStyles>
  <dxfs count="9">
    <dxf>
      <font>
        <name val="標楷體"/>
        <charset val="136"/>
        <family val="4"/>
        <strike val="0"/>
        <outline val="0"/>
        <shadow val="0"/>
        <condense val="0"/>
        <color theme="1"/>
        <extend val="0"/>
        <sz val="14"/>
        <vertAlign val="baseline"/>
      </font>
      <alignment horizontal="center" vertical="center"/>
      <border>
        <left/>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name val="標楷體"/>
        <charset val="136"/>
        <family val="4"/>
        <strike val="0"/>
        <outline val="0"/>
        <shadow val="0"/>
        <condense val="0"/>
        <color theme="1"/>
        <extend val="0"/>
        <sz val="14"/>
        <vertAlign val="baseline"/>
      </font>
      <alignment horizontal="center" vertical="center"/>
    </dxf>
    <dxf>
      <border outline="0">
        <bottom style="thin">
          <color indexed="64"/>
        </bottom>
      </border>
    </dxf>
    <dxf>
      <font>
        <name val="標楷體"/>
        <charset val="136"/>
        <family val="4"/>
        <strike val="0"/>
        <outline val="0"/>
        <shadow val="0"/>
        <condense val="0"/>
        <color theme="1"/>
        <extend val="0"/>
        <sz val="14"/>
        <vertAlign val="baseline"/>
      </font>
      <fill>
        <patternFill patternType="solid">
          <fgColor indexed="64"/>
          <bgColor theme="9" tint="0.3999755851924192"/>
        </patternFill>
      </fill>
      <alignment horizontal="center" vertical="cent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externalLink" Target="/xl/externalLinks/externalLink1.xml" Id="rId54"/><Relationship Type="http://schemas.openxmlformats.org/officeDocument/2006/relationships/styles" Target="styles.xml" Id="rId55"/><Relationship Type="http://schemas.openxmlformats.org/officeDocument/2006/relationships/theme" Target="theme/theme1.xml" Id="rId56"/><Relationship Type="http://schemas.microsoft.com/office/2006/relationships/vbaProject" Target="vbaProject.bin" Id="rId57"/></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jpeg" Id="rId2"/><Relationship Type="http://schemas.openxmlformats.org/officeDocument/2006/relationships/image" Target="/xl/media/image3.jpeg" Id="rId3"/></Relationships>
</file>

<file path=xl/drawings/drawing1.xml><?xml version="1.0" encoding="utf-8"?>
<wsDr xmlns="http://schemas.openxmlformats.org/drawingml/2006/spreadsheetDrawing">
  <twoCellAnchor editAs="oneCell">
    <from>
      <col>3</col>
      <colOff>515471</colOff>
      <row>1</row>
      <rowOff>481853</rowOff>
    </from>
    <to>
      <col>7</col>
      <colOff>480177</colOff>
      <row>1</row>
      <rowOff>3721853</rowOff>
    </to>
    <pic>
      <nvPicPr>
        <cNvPr id="3" name="圖片 2"/>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1636059" y="1120588"/>
          <a:ext cx="2430000" cy="3240000"/>
        </a:xfrm>
        <a:prstGeom xmlns:a="http://schemas.openxmlformats.org/drawingml/2006/main" prst="rect">
          <avLst/>
        </a:prstGeom>
        <a:ln xmlns:a="http://schemas.openxmlformats.org/drawingml/2006/main">
          <a:prstDash val="solid"/>
        </a:ln>
      </spPr>
    </pic>
    <clientData/>
  </twoCellAnchor>
  <twoCellAnchor editAs="oneCell">
    <from>
      <col>3</col>
      <colOff>537882</colOff>
      <row>4</row>
      <rowOff>369794</rowOff>
    </from>
    <to>
      <col>7</col>
      <colOff>503136</colOff>
      <row>4</row>
      <rowOff>3609794</rowOff>
    </to>
    <pic>
      <nvPicPr>
        <cNvPr id="6" name="圖片 5"/>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658470" y="5636559"/>
          <a:ext cx="2430548" cy="3240000"/>
        </a:xfrm>
        <a:prstGeom xmlns:a="http://schemas.openxmlformats.org/drawingml/2006/main" prst="rect">
          <avLst/>
        </a:prstGeom>
        <a:ln xmlns:a="http://schemas.openxmlformats.org/drawingml/2006/main">
          <a:prstDash val="solid"/>
        </a:ln>
      </spPr>
    </pic>
    <clientData/>
  </twoCellAnchor>
  <twoCellAnchor editAs="oneCell">
    <from>
      <col>13</col>
      <colOff>291354</colOff>
      <row>1</row>
      <rowOff>324971</rowOff>
    </from>
    <to>
      <col>20</col>
      <colOff>262497</colOff>
      <row>1</row>
      <rowOff>3564971</rowOff>
    </to>
    <pic>
      <nvPicPr>
        <cNvPr id="8" name="圖片 7"/>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7104530" y="963706"/>
          <a:ext cx="4319026" cy="3240000"/>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26085;&#24120;&#29992;\&#12304;&#19977;&#24373;&#26696;&#20214;&#12305;\1130326&#31434;&#30428;\&#26032;&#22871;&#34920;1.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輸入"/>
      <sheetName val="word用"/>
      <sheetName val="下拉用"/>
      <sheetName val=""/>
      <sheetName val="權利"/>
      <sheetName val="夜訊"/>
      <sheetName val="呈報單"/>
      <sheetName val="發傳喚通知"/>
      <sheetName val="封面"/>
      <sheetName val="贓物認領"/>
      <sheetName val="監視檢核表"/>
      <sheetName val="詐欺用檢核表"/>
      <sheetName val="行政陳報單"/>
      <sheetName val="調閱電信"/>
      <sheetName val="調閱監視器(所)"/>
      <sheetName val="入出所"/>
      <sheetName val="本人"/>
      <sheetName val="親友"/>
      <sheetName val="提審新"/>
      <sheetName val="線上立破通報單"/>
      <sheetName val="酒測單"/>
      <sheetName val="委託書"/>
      <sheetName val="酒扣領據"/>
      <sheetName val="呈報單 (多人)"/>
      <sheetName val="銷毀同意書"/>
      <sheetName val="鑑驗書"/>
      <sheetName val="檢體監管紀錄表"/>
      <sheetName val="自願受採尿同意書"/>
      <sheetName val="毒品相片紀錄"/>
      <sheetName val="案件管制表"/>
      <sheetName val="12歲"/>
      <sheetName val="3.4級毒品通報單"/>
      <sheetName val="法扶"/>
      <sheetName val="外勞"/>
      <sheetName val="捨棄聲明"/>
      <sheetName val="捨棄抗告"/>
      <sheetName val="救護資料申請書"/>
      <sheetName val="附件"/>
      <sheetName val="酒測相片紀錄"/>
      <sheetName val="送達新"/>
      <sheetName val="送達"/>
      <sheetName val="手機"/>
      <sheetName val="送驗記錄"/>
      <sheetName val="少年關懷"/>
      <sheetName val="電訪"/>
      <sheetName val="通聯紀錄表"/>
      <sheetName val="相片用"/>
    </sheetNames>
    <sheetDataSet>
      <sheetData sheetId="0"/>
      <sheetData sheetId="1"/>
      <sheetData sheetId="2">
        <row r="1">
          <cell r="A1" t="str">
            <v>通用</v>
          </cell>
          <cell r="B1" t="str">
            <v>涉嫌人通用</v>
          </cell>
          <cell r="C1" t="str">
            <v>被害人通用</v>
          </cell>
          <cell r="D1" t="str">
            <v>證人通用</v>
          </cell>
          <cell r="E1" t="str">
            <v>過失傷害</v>
          </cell>
          <cell r="F1" t="str">
            <v>傷害</v>
          </cell>
          <cell r="G1" t="str">
            <v>竊盜</v>
          </cell>
          <cell r="H1" t="str">
            <v>侵占</v>
          </cell>
          <cell r="I1" t="str">
            <v>毀損</v>
          </cell>
          <cell r="J1" t="str">
            <v>妨害電腦使用</v>
          </cell>
          <cell r="K1" t="str">
            <v>妨害名譽</v>
          </cell>
          <cell r="L1" t="str">
            <v>恐嚇</v>
          </cell>
          <cell r="M1" t="str">
            <v>撤回告訴</v>
          </cell>
          <cell r="N1" t="str">
            <v>性騷擾防治法</v>
          </cell>
          <cell r="O1" t="str">
            <v>公共危險</v>
          </cell>
          <cell r="P1" t="str">
            <v>通緝</v>
          </cell>
          <cell r="Q1" t="str">
            <v>毒品危害防制條例</v>
          </cell>
          <cell r="R1" t="str">
            <v>性騷擾</v>
          </cell>
          <cell r="S1" t="str">
            <v>逃逸外勞</v>
          </cell>
          <cell r="T1" t="str">
            <v>刑事相驗</v>
          </cell>
        </row>
        <row r="2">
          <cell r="A2" t="str">
            <v>你向警方表示你係為美國人士，請問你的中文聽、說、讀、寫能力如何？</v>
          </cell>
          <cell r="B2" t="str">
            <v>警方所告知之罪名及權利你是否清楚?你有無刑案紀錄？</v>
          </cell>
          <cell r="C2" t="str">
            <v>你今(26)日因何事接受警方製作筆錄？</v>
          </cell>
          <cell r="D2" t="str">
            <v>你與被害人為何種關係？如何認識？</v>
          </cell>
          <cell r="E2" t="str">
            <v>你於何時、何地與何人發生車禍？如何發生車禍(雙方所駕駛之車輛當時狀態？行進方向？當時發現對方車輛時雙方相距約幾公尺？採取何種反應措施？發生碰撞前時速約達每小時幾公里？發生碰撞前、時速度為何？交通號誌為何？)？</v>
          </cell>
          <cell r="F2" t="str">
            <v>你於何時、何地如何遭人傷害？因何事與對方起爭執？他為何要傷害你？請詳述案發經過。</v>
          </cell>
          <cell r="G2" t="str">
            <v>你於何時、何地如何發現你的物品遭人竊取？如何竊取？過程為何？請詳述之。</v>
          </cell>
          <cell r="H2" t="str">
            <v>妳是於何時、何地，遭何人侵占？請問你為何將該物放置於此？該人是如何侵占你的物品？請詳述之。</v>
          </cell>
          <cell r="I2" t="str">
            <v>你是何時、何地、以何方式，發現你的物品遭毀損？請詳述之。</v>
          </cell>
          <cell r="J2" t="str">
            <v>你居住地址為何？你的公司是？你公司的位置為何？電子郵件為何？</v>
          </cell>
          <cell r="K2" t="str">
            <v>你於何時、何地、如何遭人妨害名譽？請詳述案發經過。</v>
          </cell>
          <cell r="L2" t="str">
            <v>你於何時？何地？遭何人恐嚇？</v>
          </cell>
          <cell r="M2" t="str">
            <v>你於113年03月26日第一次警詢筆錄的陳述是否實在?</v>
          </cell>
          <cell r="N2" t="str">
            <v>代號楊妍煦號真實姓名對照表(彌封)之年籍資料是否正確？是否是你本人？</v>
          </cell>
          <cell r="O2" t="str">
            <v>本所警方於113年04月02日23時23分許巡經臺北市信義區松壽路24號時，見你駕駛1(車號:2於臺北市信義區松壽路24號前結報，故警方向前盤查，攔停過程中發現你散發濃厚之酒味，於經你同意實施酒精測試，經由你本人親自吹試之酒精濃度值酒測值為0.38MG/L，是否屬實? 你對於該結果有無任何疑義？</v>
          </cell>
          <cell r="P2" t="str">
            <v>本所警員於巡邏勤務中，於上述時、地發現該女子行跡可疑，上前盤查，發現為0.38，通緝日期：113年03月09日，所發布之通緝犯，姓名：楊妍煦（女性、0、A226168126)，通緝文號：安非他命，通緝案號：30；案由：竊盜，是否為你本人？</v>
          </cell>
          <cell r="Q2" t="str">
            <v>你是否為未滿12歲兒童之父母、監護人或其他實際照顧兒童之人？</v>
          </cell>
          <cell r="R2" t="str">
            <v>你今(02)日因被害人(代號楊妍煦)對你提出性騷擾告訴，故請你到本所製作警詢筆錄，是否正確？</v>
          </cell>
          <cell r="S2" t="str">
            <v>你是何時、何地逃逸？因何事逃逸？</v>
          </cell>
          <cell r="T2" t="str">
            <v>你上述年籍資料是否正確？是否為你本人？有無攜帶身分證明文件?</v>
          </cell>
        </row>
        <row r="3">
          <cell r="A3" t="str">
            <v>你上述年籍資料是否正確？是否為你本人？有無攜帶身分證明文件?</v>
          </cell>
          <cell r="B3" t="str">
            <v>請問妳是否具有低收入戶、中低收入戶、原住民或其他依法令得請求法律扶助者的身分？妳是否需要通知親屬或委任律師陪同到場？</v>
          </cell>
          <cell r="C3" t="str">
            <v>是否知悉該犯嫌的長相？穿著特徵？</v>
          </cell>
          <cell r="D3" t="str">
            <v>當被害人遭竊盜時，你是否在場？請說明事情過程？</v>
          </cell>
          <cell r="E3" t="str">
            <v>當時的天氣如何?視野如何視線是否有遭遮蔽?標誌標線是否清楚？</v>
          </cell>
          <cell r="F3" t="str">
            <v>你有無打（反擊）該名？是否有造成對方受傷？</v>
          </cell>
          <cell r="G3" t="str">
            <v>承上述，你遭竊取的財物為何？數量為何？價值多少？</v>
          </cell>
          <cell r="H3" t="str">
            <v>你遭侵占的物品特徵、價值、數量為何？</v>
          </cell>
          <cell r="I3" t="str">
            <v>妳遭毀損何物？價值為何？你為何會認為你遭染色之衣物是遭故意毀棄、損壞或致令不堪用？</v>
          </cell>
          <cell r="J3" t="str">
            <v>於何時？在何地？如何發現？你公司的電子郵件帳戶遭到冒用？</v>
          </cell>
          <cell r="K3" t="str">
            <v>請問他對你的侮辱(沒有敘述具體的事實，單純的謾罵、侮辱的行為、文字或圖片)是否有故意貶低你的人格、名譽、尊嚴？其行為為何？</v>
          </cell>
          <cell r="L3" t="str">
            <v>對方以何種方式對你恐嚇？</v>
          </cell>
          <cell r="M3" t="str">
            <v>你當時所報案之案號為Z113039AWBQ1QNU是否正確？</v>
          </cell>
          <cell r="N3" t="str">
            <v>現在是113年03月26日16時30分，代號楊妍煦是否願意製作筆錄？現在精神狀況如何？是否需要家屬或社工到場陪同？</v>
          </cell>
          <cell r="O3" t="str">
            <v>警方是否有在對你實施酒測酒精測試前，是否有提供呼氣酒精測試檢定合格證書（檢定合格單號碼：、酒測器編號：）供你檢視？之後對你告知拒測的相關事項？是否有讓你簽名？</v>
          </cell>
          <cell r="P3" t="str">
            <v>你目前居於何處？是否有收到法院或地方檢察署通知傳票？為何未出庭？</v>
          </cell>
          <cell r="Q3" t="str">
            <v>未滿12歲之兒童現在是否有人照顧？未滿12歲兒童之現居地？由何人照顧？照顧人聯絡資料？是否有獲得適當之照顧？</v>
          </cell>
          <cell r="R3" t="str">
            <v>經警方提示之監視器畫面，該圓圈內之男子是否為你本人？</v>
          </cell>
          <cell r="S3" t="str">
            <v>你逃逸期間有無打工？在何處打工？居住何處？</v>
          </cell>
          <cell r="T3" t="str">
            <v>你今(02)日因何事接受警方製作筆錄？</v>
          </cell>
        </row>
        <row r="4">
          <cell r="A4" t="str">
            <v>是否知道對方年籍資料、聯絡方式？與對方是否認識？有無仇恨或糾紛？</v>
          </cell>
          <cell r="B4" t="str">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ell>
          <cell r="C4" t="str">
            <v>警方提供指認犯罪嫌疑人紀錄，編號一至六號中，何者為竊盜的犯嫌？(犯嫌可能不在指認表中)</v>
          </cell>
          <cell r="D4" t="str">
            <v>你今(26)日因何事接受警方製作筆錄？</v>
          </cell>
          <cell r="E4" t="str">
            <v>發生擦撞之撞擊部位為何？車輀受損狀況？是否有估價單？</v>
          </cell>
          <cell r="F4" t="str">
            <v>用何種器具傷害你身體何處？使你何處受傷，傷勢如何？在哪家醫院診斷？是否能提出診斷證明書？</v>
          </cell>
          <cell r="G4" t="str">
            <v>你的財物遭竊取當時你是否在場？財物放置處是否有上鎖？是否有人看管？</v>
          </cell>
          <cell r="H4" t="str">
            <v>你否知道誰取走你的物品與侵占你物品之人的裝扮、特徵？</v>
          </cell>
          <cell r="I4" t="str">
            <v>該遭毀損之物為何人所有？在何處遭到毀損？以何方式遭到毀損？毀損程度如何？除對你住所（或所有物）毀損外，有無其他侵害行為？</v>
          </cell>
          <cell r="J4" t="str">
            <v>你使用電子郵件交易的客戶是？</v>
          </cell>
          <cell r="K4" t="str">
            <v>請問他是否在公然的場所侮辱你？第三人是否可以聽得見、看得見、知情？是否有散布於眾？散布於何處？</v>
          </cell>
          <cell r="L4" t="str">
            <v>對方以何種文字及言詞對你恐嚇？</v>
          </cell>
          <cell r="M4" t="str">
            <v>警方於113年04月02日23時23分在約談涉嫌人來所說明案情,筆錄期間涉嫌人主動交付贓證物,是否為妳遭竊盜之物品？</v>
          </cell>
          <cell r="N4" t="str">
            <v>你現在於何處工作？公司設立地址為何？你就職時間為何？有無勞保？家庭狀況如何？有無前科？</v>
          </cell>
          <cell r="O4" t="str">
            <v>你飲酒結束至警方將你攔停時間是否已經超過15分鐘以上？警方於現場施測前有無提供礦泉水讓你漱口或飲用？</v>
          </cell>
          <cell r="P4" t="str">
            <v>通緝期間你目前經濟來源為何？有無他人幫你藏匿，及再犯其他刑案？</v>
          </cell>
          <cell r="Q4" t="str">
            <v>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v>
          </cell>
          <cell r="R4" t="str">
            <v>據被害人(代號楊妍煦)筆錄所述，於113年03月22日23時10分許於臺北市信義區松壽路24號，遭你以徒手方式觸碰其胸部，指認你為性騷擾其之犯嫌，你做何解釋？</v>
          </cell>
          <cell r="S4" t="str">
            <v>你逃逸期間經濟來源為何？</v>
          </cell>
          <cell r="T4" t="str">
            <v>你於何時、何地、如何發現張煜杰狀況？過程為何？請詳述之。</v>
          </cell>
        </row>
        <row r="5">
          <cell r="A5" t="str">
            <v>上述所說是否實在？有無其他意見補充？</v>
          </cell>
          <cell r="B5" t="str">
            <v>現在時間113年04月02日時分許，依刑事訴訟法為夜間偵訊時間，你是否同意接受製作夜間警詢筆錄？目前精神狀況是否良好？意識是否清醒？</v>
          </cell>
          <cell r="C5" t="str">
            <v>你是否知悉謊報刑案與使公務員登載不實須負相關責任?</v>
          </cell>
          <cell r="D5" t="str">
            <v>妳與涉嫌人是否認識？何種關係？有無任何仇恨、糾紛？</v>
          </cell>
          <cell r="E5" t="str">
            <v>當時為何人駕駛？車號車種為何？你車上共乘幾人？對方駕駛為何人？車號車種為何？對方車上共乘幾人？</v>
          </cell>
          <cell r="F5" t="str">
            <v>有無其他物品遭毀損？</v>
          </cell>
          <cell r="G5" t="str">
            <v>承上述，你是否有上鎖？該竊嫌是否有使用工具破壞你的你的保管箱？</v>
          </cell>
          <cell r="H5" t="str">
            <v>你是否清楚侵占你物品的人使用何交通工具？往何處逃逸？</v>
          </cell>
          <cell r="I5" t="str">
            <v>該名犯嫌是以何種方式毀損你之財物？有無使用工具？何種工具？逃逸時，有無使用交通工具？</v>
          </cell>
          <cell r="J5" t="str">
            <v>你們本次的交易內容是？你是否知道他們的交易商品為何？金額為何？</v>
          </cell>
          <cell r="K5" t="str">
            <v>你是否如何知悉他所罵是你？</v>
          </cell>
          <cell r="L5" t="str">
            <v>看到對方傳送的文字及照片與言詞你有何感受？</v>
          </cell>
          <cell r="M5" t="str">
            <v>警方於113年04月02日23時23分在/N-IADDR發現贓證物，是否為妳遭竊之物品？</v>
          </cell>
          <cell r="N5" t="str">
            <v>案件發生時，是否為你工作時間？問你當時穿著服裝特徵為何？</v>
          </cell>
          <cell r="O5" t="str">
            <v>警方對你實施酒測酒精測定值0.38mg/l,酒測單案號號、酒測器編號,是否為你本人親自簽名的？是否為你本人親自吹測無誤？</v>
          </cell>
          <cell r="P5" t="str">
            <v>你於發布通緝日之後，有無再犯其他案件？</v>
          </cell>
          <cell r="Q5" t="str">
            <v>你是否知道如主動供出毒品之上游來源，使警方因而破獲者，依法可獲得減刑？</v>
          </cell>
          <cell r="R5" t="str">
            <v>你於碰觸到被害人(代號楊妍煦)前喝了多少酒？</v>
          </cell>
          <cell r="S5" t="str">
            <v>你是逃逸外勞依法須遣送離台有無意見？</v>
          </cell>
          <cell r="T5" t="str">
            <v>經該男子送台北馬偕醫院，經醫生於113年1月10日8時30分宣告不治死亡，你是否為真?</v>
          </cell>
        </row>
        <row r="6">
          <cell r="A6" t="str">
            <v>現任何職？是否有公司授權委託書？</v>
          </cell>
          <cell r="B6" t="str">
            <v>現在時間113年04月02日時分許，依刑事訴訟法為夜間偵訊時間，警方不得對你詢問製作筆錄，你是否知悉？</v>
          </cell>
          <cell r="C6" t="str">
            <v>現場有無監視器或有無其他目擊者或證人？時間有無誤差？有無聯絡方式？</v>
          </cell>
          <cell r="D6" t="str">
            <v>你是否知悉使公務員登載不實須負相關責任?</v>
          </cell>
          <cell r="E6" t="str">
            <v>車禍當時有無向警方報案？警方有無到場處理？對方是否有留在現場或逃逸？現場是否有移動？有無拍照或標繪？</v>
          </cell>
          <cell r="F6" t="str">
            <v>你還記得傷害你的那個男子的特徵、外貌？</v>
          </cell>
          <cell r="G6" t="str">
            <v>該竊嫌竊取物品時的裝扮、特徵？</v>
          </cell>
          <cell r="I6" t="str">
            <v>妳是否認識上述毀損妳物品的犯嫌？有無糾紛或仇恨？</v>
          </cell>
          <cell r="J6" t="str">
            <v>你為何會幫同崴股份有限公司進行交易？同崴股份有限公司的詳細資料是？你與同崴股份有限公司共進行過幾次交易？</v>
          </cell>
          <cell r="K6" t="str">
            <v>他是否有對你使用強制力（強暴手段）做出妨害名譽的行為？</v>
          </cell>
          <cell r="L6" t="str">
            <v>有無證據可提供員警偵辦？</v>
          </cell>
          <cell r="M6" t="str">
            <v>贓物認領保管單是否為妳本人確認無誤後親自簽名?</v>
          </cell>
          <cell r="N6" t="str">
            <v>你於何時、何地遭何人性騷擾，請詳述過程？</v>
          </cell>
          <cell r="O6" t="str">
            <v>因你觸犯刑法公共危險案，警方依法對你代保管車輛，1(2)，該告發單,及移置車輛保管單號是否都有交給你？</v>
          </cell>
          <cell r="Q6" t="str">
            <v>你於何時？何地？因何事為警方查獲？現場尚有何人？</v>
          </cell>
          <cell r="R6" t="str">
            <v>你使用何種方式對被害人(代號楊妍煦)實施性騷擾之行為？性騷擾何部位？性騷擾幾次？</v>
          </cell>
          <cell r="S6" t="str">
            <v>你目前身上有多少現金？你的護照目前在何處?</v>
          </cell>
          <cell r="T6" t="str">
            <v>現場是否留有凶器或打鬥之痕跡？死者身上及現場周遭是否有外傷等明顯非自然痕跡（身上勒痕、環境鞋痕、車痕等）？有無遭翻動財物痕跡？現場是否有監視器？</v>
          </cell>
        </row>
        <row r="7">
          <cell r="A7" t="str">
            <v>你於113年03月26日第一次警詢筆錄的陳述是否實在?</v>
          </cell>
          <cell r="B7" t="str">
            <v>妳今(02)日因何事接受警方製作筆錄？</v>
          </cell>
          <cell r="C7" t="str">
            <v>你是否知悉依刑訴法第237條告訴期為六個月？是否曾經提告此案過？或是否曾經撤回告訴過？</v>
          </cell>
          <cell r="D7" t="str">
            <v>你有無為自己或他人推卸刑責而向警方為不實陳述?</v>
          </cell>
          <cell r="E7" t="str">
            <v>車禍當時有無人員受傷？受傷情形為何？當時有沒有叫救護車？有無前往醫院就醫並開立診斷證明？</v>
          </cell>
          <cell r="G7" t="str">
            <v>該竊嫌有無使用交通工具？使用交通工具後，往何處逃逸？</v>
          </cell>
          <cell r="J7" t="str">
            <v>你與你的海峽國際私人有限公司共使用電子郵件進行了幾次交易？</v>
          </cell>
          <cell r="K7" t="str">
            <v>請問他是否故意去散播會損害你的名譽的評價真偽具體事件或事實，而不只是單純的辱罵而已？使用何種方式(敘述、文字、圖像)？其內容為何？</v>
          </cell>
          <cell r="M7" t="str">
            <v>為何你要撤回告訴？請詳述原因。撤回告訴狀與和解書是否由你親自填寫？是否能提供給警方？</v>
          </cell>
          <cell r="N7" t="str">
            <v>你遭受性騷擾時當時心裡感受如何？</v>
          </cell>
          <cell r="O7" t="str">
            <v>你於何時、何地與何人一同喝酒？是飲用何種酒？共喝多少？你於何時結束飲酒？飲酒後騎乘何駕駛工具？車號？該車主為何人？</v>
          </cell>
          <cell r="Q7" t="str">
            <v>你當場為警方查獲何物？係何人所有？有何用途？</v>
          </cell>
          <cell r="R7" t="str">
            <v>承上，你性騷擾被害人(代號楊妍煦)的意圖為何？</v>
          </cell>
          <cell r="S7" t="str">
            <v>你是否可以備妥金錢、機票及護照？警方將把你移交內政部移民署遣返回國，是否清楚？</v>
          </cell>
          <cell r="T7" t="str">
            <v>你與張煜杰是什麼關係？張煜杰之年籍資料、聯絡方式為何？張煜杰有無使用交通工具？使用何交通工具？你瞭解張煜杰生活狀況如何？最近生活有無異常？交友狀況如何？有無與人糾紛或結怨？你瞭解張煜杰家庭狀況如何？</v>
          </cell>
        </row>
        <row r="8">
          <cell r="B8" t="str">
            <v>你是否知悉於警詢筆錄中做不實陳述須負法律責任?</v>
          </cell>
          <cell r="C8" t="str">
            <v>你是否要提出告訴？提出何種告訴？是否附帶民事求償？</v>
          </cell>
          <cell r="D8" t="str">
            <v>請問你是否現為或曾為犯罪嫌疑人之配偶、直系血親、三親等內之旁系血親、二親等內之姻親或家長、家屬者？</v>
          </cell>
          <cell r="E8" t="str">
            <v>有無開立交通事故登記聯單？有無核發交通事故初步分析研判表？肇事原因為何？有無申請鑑定？</v>
          </cell>
          <cell r="J8" t="str">
            <v>你公司的電子郵件遭冒用的帳號是？</v>
          </cell>
          <cell r="K8" t="str">
            <v>他所使你損害名譽是否出於自衛、自辯或保護合法之利益或可受公評之事，而為適當之評論？</v>
          </cell>
          <cell r="M8" t="str">
            <v>依刑事訴訟法第 238 條 告訴乃論之罪，告訴人於第一審辯論終結前，得撤回其告訴。撤回告訴之人，不得再為同一件事提出告訴。你是否確定要撤回告訴？</v>
          </cell>
          <cell r="N8" t="str">
            <v>加害人如何對你性騷擾？其方式？撫摸何部位？次數？</v>
          </cell>
          <cell r="O8" t="str">
            <v>你從何時、何地開始駕駛1(2)？行駛的距離？欲前往何處？</v>
          </cell>
          <cell r="Q8" t="str">
            <v>你以何方式施用毒品安非他命？有無以扣案之物品作為施用之器具？多久施用1次？數量為何？</v>
          </cell>
          <cell r="R8" t="str">
            <v>你對被害人(代號楊妍煦)之性騷擾的行為是否經過他本人意識同意？如何表示同意？</v>
          </cell>
          <cell r="S8" t="str">
            <v>依就業服務法第60條規定，若查無非法容留、聘僱或媒介外國
人從事工作者及遣送事由可歸責之雇主者，其收容費用應由被
遣送之外國人負擔，你是否清楚？</v>
          </cell>
          <cell r="T8" t="str">
            <v>是否知悉張煜杰有無投保保險？張煜杰經濟來源為何？有無工作？</v>
          </cell>
        </row>
        <row r="9">
          <cell r="B9" t="str">
            <v>你有無為自己或他人推卸刑責而向警方為不實陳述？</v>
          </cell>
          <cell r="C9" t="str">
            <v>你是否知悉，依刑訴法第238條，若欲撤回告訴，應於第一審辯論終結前為之，且不得再次提告？</v>
          </cell>
          <cell r="D9" t="str">
            <v>請問你是否與犯罪嫌疑人訂有婚約者？</v>
          </cell>
          <cell r="E9" t="str">
            <v>你車禍發生時有無服用酒類或其他含有酒精成分之飲品或食品？有無實施酒精濃度測試？</v>
          </cell>
          <cell r="J9" t="str">
            <v>你是否清楚共有幾人，接收到假冒你公司的名義所發出之電子郵件詐騙訊息？相關資料為何？</v>
          </cell>
          <cell r="K9" t="str">
            <v>他所使你損害名譽是否能證明其為真實？</v>
          </cell>
          <cell r="N9" t="str">
            <v>你遭受性騷擾時有無遭受脅迫或任何使自身不能抵抗之情事？</v>
          </cell>
          <cell r="O9" t="str">
            <v>你於108年7月1日酒駕新法上路後是否有因酒後駕車遭警方查獲？</v>
          </cell>
          <cell r="Q9" t="str">
            <v>你(於前案後)於何時、何地施用毒品安非他命？</v>
          </cell>
          <cell r="R9" t="str">
            <v>你對被害人(代號楊妍煦)之性騷擾的行為被害人有無抗拒？如何抗拒？</v>
          </cell>
          <cell r="S9" t="str">
            <v>遭警方逮捕時有無受傷？逃逸期間有無遭人虐待？</v>
          </cell>
          <cell r="T9" t="str">
            <v>張煜杰身體健康狀況如何？有無疾病纏身？有無生前就醫紀錄？</v>
          </cell>
        </row>
        <row r="10">
          <cell r="B10" t="str">
            <v>警方製作警詢筆錄時，有無全程錄音錄影？</v>
          </cell>
          <cell r="C10" t="str">
            <v>如警方通知涉嫌人後，你是否同意與對方和解？</v>
          </cell>
          <cell r="D10" t="str">
            <v>請問你是否現為或曾為犯罪嫌疑人之法定代理人或現由或曾由犯罪嫌疑人為其法定代理人者？</v>
          </cell>
          <cell r="E10" t="str">
            <v>你當下行駛過程中是否有在車上使用行動電話或其他足以造成行車安全之行為?對方是否有使用？</v>
          </cell>
          <cell r="J10" t="str">
            <v>你公司的電子郵件，使用平台為何？有無裝設防毒軟體？你公司是否有資管相關設備？</v>
          </cell>
          <cell r="K10" t="str">
            <v>你是否要請求依民法第18條或民法第184、195條的損害賠償或回復名譽？</v>
          </cell>
          <cell r="N10" t="str">
            <v>你遭受性騷擾時有無反抗或制止？如何反抗或制止？對方有何反應？</v>
          </cell>
          <cell r="O10" t="str">
            <v>店家是否有告知酒後不能駕車，或是提供勿酒後駕車之標語，標示?請問你為何會有酒後駕車的行為？</v>
          </cell>
          <cell r="Q10" t="str">
            <v>你所施用之毒品安非他命係於何時、何地、向何人取得？價格、數量為何？</v>
          </cell>
          <cell r="T10" t="str">
            <v>張煜杰曾有無表示想輕生念頭？有無留下遺書？現場是否留有遺書？</v>
          </cell>
        </row>
        <row r="11">
          <cell r="B11" t="str">
            <v>警方於偵訊時你所陳述之事實是否為你自由意識下所陳述？警方有無以強暴脅迫等不正方法對你取供？警方在逮捕你時，有無使你受傷？</v>
          </cell>
          <cell r="E11" t="str">
            <v>你是否有裝設行車紀錄器?是否知悉對方有無裝設?你是否清楚案發地有無監視器的設置?</v>
          </cell>
          <cell r="J11" t="str">
            <v>你公司的電子郵件帳號是否有借予他人使用過？是否有其他人知道你公司的電子郵件帳號及密碼？</v>
          </cell>
          <cell r="N11" t="str">
            <v>加害人當時穿著服裝特徵為何？你是否認識加害人？與加害人為何種關係？是否知悉加害人的人之年籍資料、聯絡方式？是否知悉加害人所屬機關(公司)為何？擔任何職位？</v>
          </cell>
          <cell r="O11" t="str">
            <v>你酒後駕車期間是否有與人發生交通事故？</v>
          </cell>
          <cell r="Q11" t="str">
            <v>你最後一次施用毒品係於何時、何地、如何施用？</v>
          </cell>
          <cell r="T11" t="str">
            <v>張煜杰大體目前放置於何處？</v>
          </cell>
        </row>
        <row r="12">
          <cell r="B12" t="str">
            <v>警方於偵訊時你所陳述之事實是否為你自由意識下所陳述？警方有無以強暴脅迫等不正方法對你取供？</v>
          </cell>
          <cell r="E12" t="str">
            <v>事後你與對方有無商談相關賠償事宜?是否有達成和解？</v>
          </cell>
          <cell r="J12" t="str">
            <v>你是否清楚是何人冒用你的名義？你是否清楚犯嫌是如何得知你與你的客戶使用電子郵件進行交易的？你是否清楚犯嫌是如何得知你公司的電子郵件帳戶的？你都在何處使用電腦上網並使用電子郵件的？</v>
          </cell>
          <cell r="N12" t="str">
            <v>你被性騷擾時有無其他證人在場？是否認識？</v>
          </cell>
          <cell r="O12" t="str">
            <v>警方於查獲你時，妳車上是否有附載未滿12歲之人或其他乘客？</v>
          </cell>
          <cell r="Q12" t="str">
            <v>你使用之電話號碼？其申登人為何？開機密碼？鎖屏密碼？</v>
          </cell>
          <cell r="T12" t="str">
            <v>你對於張煜杰之死亡有無任何意見？</v>
          </cell>
        </row>
        <row r="13">
          <cell r="E13" t="str">
            <v>你有無向調解委員會聲請調解程序？調解情形為何？</v>
          </cell>
          <cell r="J13" t="str">
            <v>該犯嫌共假冒你公司的電子郵件帳號幾次？於何時開始假冒你公司的名義？ 到目前為止，是否有因為你公司的電子郵件帳戶遭犯嫌冒用， 而發生任何財物損失？</v>
          </cell>
          <cell r="N13" t="str">
            <v>請問妳是否知悉發生處所附近是否有監視器可供調閱或能提供警方其他資料或線索？</v>
          </cell>
          <cell r="O13" t="str">
            <v>你身體有無任何不適之症狀?如發燒?你於駕車前是否有使用酒精成分物（食）品（如蜂膠、感冒糖漿、漱口水）等物？</v>
          </cell>
          <cell r="Q13" t="str">
            <v>你近日是否有服用其他藥品？</v>
          </cell>
          <cell r="T13" t="str">
            <v>上述所說是否實在？有無其他意見補充？</v>
          </cell>
        </row>
        <row r="14">
          <cell r="E14" t="str">
            <v>你能提供何種資料(事故聯單、初判表、車鑑表、驗傷單)供警方後續偵辦使用?</v>
          </cell>
          <cell r="J14" t="str">
            <v>針對本案，你是否有向交易的對象表示，你的電子郵件遭不明犯嫌冒用？</v>
          </cell>
          <cell r="N14" t="str">
            <v>本事件你是否要提出性騷擾申訴？(如為執行職務中，係屬性別工作平等法範疇，所申訴對象係雇主而非行為人)</v>
          </cell>
          <cell r="O14" t="str">
            <v>你是如何與對方發生車禍？對方車牌為何</v>
          </cell>
          <cell r="Q14" t="str">
            <v>你有無因施用毒品經緩起訴處分、觀察勒戒或強制戒治？</v>
          </cell>
        </row>
        <row r="15">
          <cell r="N15" t="str">
            <v>性騷擾第25條之性騷擾行為為告訴乃論罪，你是否要提出告訴？</v>
          </cell>
          <cell r="O15" t="str">
            <v>你當時行駛之車道為何？車速為何？行經上述肇事路口時路口號誌為何？</v>
          </cell>
          <cell r="Q15" t="str">
            <v>你是否仍在緩起訴期間？(如答是，請續問在哪個地檢署?哪個醫療院所?)</v>
          </cell>
        </row>
        <row r="16">
          <cell r="O16" t="str">
            <v>你是否知悉你碰撞自小客貨6N-5698車體何處？</v>
          </cell>
          <cell r="Q16" t="str">
            <v>你是否知道各地方政府毒品危害防制中心有連結社政、衛政、醫療等資源，為藥癮者本人或家屬提供諮詢服務，包含戒癮治療、愛滋病篩檢、心理輔導、醫療諮詢、社會扶助、職業訓練及就業協助等？</v>
          </cell>
        </row>
        <row r="17">
          <cell r="O17" t="str">
            <v>你是否知悉你酒後駕車肇事後有無造成任何人受傷？</v>
          </cell>
          <cell r="Q17" t="str">
            <v>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id="1" name="表格1" displayName="表格1" ref="B16:B26" headerRowCount="1" totalsRowShown="0" headerRowDxfId="4" dataDxfId="2" headerRowBorderDxfId="3" tableBorderDxfId="1">
  <autoFilter ref="B16:B26"/>
  <tableColumns count="1">
    <tableColumn id="1" name="姓名" dataDxfId="0"/>
  </tableColumns>
  <tableStyleInfo name="TableStyleLight16" showFirstColumn="0" showLastColumn="0" showRowStripes="1" showColumnStripes="0"/>
</table>
</file>

<file path=xl/theme/theme1.xml><?xml version="1.0" encoding="utf-8"?>
<a:theme xmlns:a="http://schemas.openxmlformats.org/drawingml/2006/main" name="Office 2013 - 2022 主題">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27.xml.rels><Relationships xmlns="http://schemas.openxmlformats.org/package/2006/relationships"><Relationship Type="http://schemas.openxmlformats.org/officeDocument/2006/relationships/drawing" Target="/xl/drawings/drawing1.xml" Id="rId1"/></Relationships>
</file>

<file path=xl/worksheets/_rels/sheet37.xml.rels><Relationships xmlns="http://schemas.openxmlformats.org/package/2006/relationships"><Relationship Type="http://schemas.openxmlformats.org/officeDocument/2006/relationships/hyperlink" Target="http://enc.moe.edu.tw/UploadFile/eBook/20160819134838052559/index.html" TargetMode="External" Id="rId1"/></Relationships>
</file>

<file path=xl/worksheets/sheet1.xml><?xml version="1.0" encoding="utf-8"?>
<worksheet xmlns="http://schemas.openxmlformats.org/spreadsheetml/2006/main">
  <sheetPr codeName="工作表1">
    <outlinePr summaryBelow="1" summaryRight="1"/>
    <pageSetUpPr/>
  </sheetPr>
  <dimension ref="A1:AN28"/>
  <sheetViews>
    <sheetView showZeros="0" topLeftCell="B1" zoomScale="70" zoomScaleNormal="70" workbookViewId="0">
      <pane ySplit="1" topLeftCell="A11" activePane="bottomLeft" state="frozen"/>
      <selection activeCell="F17" sqref="F17:L17"/>
      <selection pane="bottomLeft" activeCell="F27" sqref="F27"/>
    </sheetView>
  </sheetViews>
  <sheetFormatPr baseColWidth="8" defaultRowHeight="16.5"/>
  <cols>
    <col hidden="1" width="2.375" customWidth="1" style="593" min="1" max="1"/>
    <col width="16.125" customWidth="1" style="593" min="2" max="2"/>
    <col width="14.375" customWidth="1" style="593" min="3" max="3"/>
    <col width="10" customWidth="1" style="593" min="4" max="4"/>
    <col width="13.75" customWidth="1" style="593" min="5" max="5"/>
    <col width="19.25" customWidth="1" style="593" min="6" max="6"/>
    <col width="23.25" customWidth="1" style="593" min="7" max="7"/>
    <col width="27.5" customWidth="1" style="593" min="8" max="8"/>
    <col width="10.25" customWidth="1" style="593" min="9" max="9"/>
    <col width="11.875" customWidth="1" style="593" min="10" max="10"/>
    <col width="7.125" customWidth="1" style="593" min="11" max="12"/>
    <col width="10.375" customWidth="1" style="593" min="13" max="13"/>
    <col width="12.125" customWidth="1" style="593" min="14" max="14"/>
    <col width="8.875" customWidth="1" style="593" min="15" max="15"/>
    <col width="6.75" customWidth="1" style="593" min="16" max="16"/>
    <col hidden="1" width="11" customWidth="1" style="593" min="17" max="17"/>
    <col width="1.625" customWidth="1" style="593" min="18" max="18"/>
    <col width="14.5" customWidth="1" style="593" min="19" max="19"/>
    <col width="9.875" customWidth="1" style="593" min="20" max="20"/>
    <col width="9.125" customWidth="1" style="593" min="21" max="21"/>
    <col width="9.375" customWidth="1" style="593" min="22" max="23"/>
    <col width="5.125" customWidth="1" style="593" min="24" max="24"/>
    <col width="11.125" customWidth="1" style="593" min="25" max="25"/>
    <col width="8.25" customWidth="1" style="593" min="26" max="26"/>
    <col width="12" customWidth="1" style="593" min="27" max="27"/>
    <col width="7.875" customWidth="1" style="593" min="28" max="28"/>
    <col width="7.375" customWidth="1" style="593" min="29" max="29"/>
    <col width="7.125" customWidth="1" style="593" min="30" max="30"/>
    <col width="6.25" customWidth="1" style="593" min="31" max="31"/>
    <col width="4.625" customWidth="1" style="593" min="32" max="32"/>
    <col width="6.25" customWidth="1" style="593" min="33" max="33"/>
    <col width="4.875" customWidth="1" style="593" min="34" max="34"/>
    <col width="5.875" customWidth="1" style="593" min="35" max="35"/>
    <col width="7.375" customWidth="1" style="593" min="36" max="36"/>
    <col width="9" customWidth="1" style="593" min="37" max="37"/>
    <col width="6.25" customWidth="1" style="593" min="38" max="38"/>
    <col width="9.75" customWidth="1" style="593" min="39" max="39"/>
    <col width="9" customWidth="1" style="593" min="40" max="41"/>
    <col width="9" customWidth="1" style="593" min="42" max="16384"/>
  </cols>
  <sheetData>
    <row r="1" ht="21.75" customHeight="1" s="683">
      <c r="A1" s="593" t="inlineStr">
        <is>
          <t>謝齊叡</t>
        </is>
      </c>
    </row>
    <row r="2" ht="21.75" customHeight="1" s="683">
      <c r="A2" s="593" t="inlineStr">
        <is>
          <t>陳進億</t>
        </is>
      </c>
      <c r="B2" s="38" t="inlineStr">
        <is>
          <t>案由</t>
        </is>
      </c>
      <c r="C2" s="596" t="inlineStr">
        <is>
          <t>毀損</t>
        </is>
      </c>
      <c r="D2" s="579" t="n"/>
      <c r="E2" s="147" t="inlineStr">
        <is>
          <t>無指名</t>
        </is>
      </c>
      <c r="F2" s="89" t="n"/>
      <c r="G2" s="578" t="inlineStr">
        <is>
          <t>通緝案由</t>
        </is>
      </c>
      <c r="H2" s="577" t="n"/>
      <c r="I2" s="36" t="n"/>
      <c r="J2" s="38" t="inlineStr">
        <is>
          <t>勤務</t>
        </is>
      </c>
      <c r="K2" s="597" t="n"/>
      <c r="L2" s="576" t="n"/>
      <c r="N2" s="578" t="inlineStr">
        <is>
          <t>呼氣酒精測試檢定合格證書</t>
        </is>
      </c>
      <c r="O2" s="579" t="n"/>
      <c r="P2" s="576" t="n"/>
      <c r="Q2" s="89" t="n"/>
      <c r="R2" s="89" t="n"/>
      <c r="S2" s="35" t="inlineStr">
        <is>
          <t>違反事實</t>
        </is>
      </c>
      <c r="T2" s="589">
        <f>IF($E$2=下拉用!$D$3,下拉用!$B$2,下拉用!$A$2)</f>
        <v/>
      </c>
      <c r="U2" s="582" t="n"/>
      <c r="V2" s="582" t="n"/>
      <c r="W2" s="582" t="n"/>
      <c r="X2" s="583" t="n"/>
      <c r="Y2" s="417" t="n"/>
      <c r="Z2" s="1175" t="n"/>
      <c r="AA2" s="1175" t="n"/>
      <c r="AB2" s="1175" t="n"/>
      <c r="AC2" s="419" t="n"/>
      <c r="AD2" s="419" t="n"/>
      <c r="AE2" s="419" t="n"/>
    </row>
    <row r="3" ht="63.75" customHeight="1" s="683">
      <c r="A3" s="593" t="inlineStr">
        <is>
          <t>楊子慶</t>
        </is>
      </c>
      <c r="B3" s="587">
        <f>IF($C$2="刑事相驗","110報案內容與現場狀況","犯嫌自述")</f>
        <v/>
      </c>
      <c r="C3" s="591" t="n"/>
      <c r="D3" s="582" t="n"/>
      <c r="E3" s="583" t="n"/>
      <c r="F3" s="228" t="n"/>
      <c r="G3" s="578" t="inlineStr">
        <is>
          <t>攔查理由</t>
        </is>
      </c>
      <c r="H3" s="591" t="n"/>
      <c r="J3" s="578" t="inlineStr">
        <is>
          <t>車種</t>
        </is>
      </c>
      <c r="K3" s="597" t="inlineStr">
        <is>
          <t>輕機</t>
        </is>
      </c>
      <c r="L3" s="576" t="n"/>
      <c r="N3" s="310" t="inlineStr">
        <is>
          <t>檢定合格單號碼</t>
        </is>
      </c>
      <c r="O3" s="577" t="inlineStr">
        <is>
          <t>j0ja1300812</t>
        </is>
      </c>
      <c r="P3" s="576" t="n"/>
      <c r="Q3" s="228" t="n"/>
      <c r="R3" s="419" t="n"/>
      <c r="T3" s="584" t="n"/>
      <c r="U3" s="585" t="n"/>
      <c r="V3" s="585" t="n"/>
      <c r="W3" s="585" t="n"/>
      <c r="X3" s="586" t="n"/>
      <c r="Y3" s="417" t="n"/>
      <c r="Z3" s="1175" t="n"/>
      <c r="AA3" s="1175" t="n"/>
      <c r="AB3" s="1175" t="n"/>
      <c r="AH3" s="674" t="n"/>
    </row>
    <row r="4" ht="45" customHeight="1" s="683">
      <c r="A4" s="593" t="inlineStr">
        <is>
          <t>黃聖文</t>
        </is>
      </c>
      <c r="B4" s="588" t="n"/>
      <c r="C4" s="584" t="n"/>
      <c r="D4" s="585" t="n"/>
      <c r="E4" s="586" t="n"/>
      <c r="F4" s="435" t="n"/>
      <c r="G4" s="588" t="n"/>
      <c r="H4" s="588" t="n"/>
      <c r="I4" s="36" t="n"/>
      <c r="J4" s="578" t="inlineStr">
        <is>
          <t>車牌</t>
        </is>
      </c>
      <c r="K4" s="599" t="inlineStr">
        <is>
          <t>ewj-8123</t>
        </is>
      </c>
      <c r="L4" s="576" t="n"/>
      <c r="N4" s="311" t="inlineStr">
        <is>
          <t>酒測器編號</t>
        </is>
      </c>
      <c r="O4" s="575" t="inlineStr">
        <is>
          <t>a191245</t>
        </is>
      </c>
      <c r="P4" s="576" t="n"/>
      <c r="Q4" s="435" t="n"/>
      <c r="R4" s="435" t="n"/>
      <c r="S4" s="35" t="inlineStr">
        <is>
          <t>犯嫌自述</t>
        </is>
      </c>
      <c r="T4" s="589">
        <f>下拉用!$A$3</f>
        <v/>
      </c>
      <c r="U4" s="582" t="n"/>
      <c r="V4" s="582" t="n"/>
      <c r="W4" s="582" t="n"/>
      <c r="X4" s="583" t="n"/>
      <c r="Y4" s="417" t="n"/>
      <c r="Z4" s="1175" t="n"/>
      <c r="AA4" s="1175" t="n"/>
      <c r="AB4" s="1175" t="n"/>
    </row>
    <row r="5" ht="29.25" customHeight="1" s="683">
      <c r="A5" s="593" t="inlineStr">
        <is>
          <t>吳彥翔</t>
        </is>
      </c>
      <c r="B5" s="577">
        <f>IF($C$2="刑事相驗","發現人自述","被害自述")</f>
        <v/>
      </c>
      <c r="C5" s="581" t="inlineStr">
        <is>
          <t>報案人稱於115年09月12日12時18分載乘客至臺北市信義區吳興街206號，遭不知名民眾敲擊自小營(TDW-2575)右後側板金，並造成凹陷，故至所報案。</t>
        </is>
      </c>
      <c r="D5" s="582" t="n"/>
      <c r="E5" s="583" t="n"/>
      <c r="F5" s="419" t="n"/>
      <c r="G5" s="227">
        <f>HLOOKUP($H$14,調閱用!$1:$1048576,2,0)</f>
        <v/>
      </c>
      <c r="H5" s="1301" t="n">
        <v>11405050505</v>
      </c>
      <c r="N5" s="311" t="inlineStr">
        <is>
          <t>酒測單案號</t>
        </is>
      </c>
      <c r="O5" s="575" t="n">
        <v>125</v>
      </c>
      <c r="P5" s="576" t="n"/>
      <c r="Q5" s="419" t="n"/>
      <c r="R5" s="419" t="n"/>
      <c r="T5" s="584" t="n"/>
      <c r="U5" s="585" t="n"/>
      <c r="V5" s="585" t="n"/>
      <c r="W5" s="585" t="n"/>
      <c r="X5" s="586" t="n"/>
      <c r="Y5" s="417" t="n"/>
      <c r="Z5" s="1175" t="n"/>
      <c r="AA5" s="1175" t="n"/>
      <c r="AB5" s="1175" t="n"/>
    </row>
    <row r="6" ht="45.75" customHeight="1" s="683">
      <c r="A6" s="593" t="inlineStr">
        <is>
          <t>陳志偉</t>
        </is>
      </c>
      <c r="B6" s="588" t="n"/>
      <c r="C6" s="584" t="n"/>
      <c r="D6" s="585" t="n"/>
      <c r="E6" s="586" t="n"/>
      <c r="F6" s="419" t="n"/>
      <c r="G6" s="227">
        <f>HLOOKUP($H$14,調閱用!$1:$1048576,3,0)</f>
        <v/>
      </c>
      <c r="H6" s="1302" t="n"/>
      <c r="I6" s="1303" t="n"/>
      <c r="N6" s="311" t="inlineStr">
        <is>
          <t>告發單</t>
        </is>
      </c>
      <c r="O6" s="575" t="inlineStr">
        <is>
          <t>a03h5s314</t>
        </is>
      </c>
      <c r="P6" s="576" t="n"/>
      <c r="Q6" s="419" t="n"/>
      <c r="R6" s="419" t="n"/>
      <c r="S6" s="35" t="inlineStr">
        <is>
          <t>結報</t>
        </is>
      </c>
      <c r="T6" s="589">
        <f>下拉用!$A$5</f>
        <v/>
      </c>
      <c r="U6" s="582" t="n"/>
      <c r="V6" s="582" t="n"/>
      <c r="W6" s="582" t="n"/>
      <c r="X6" s="583" t="n"/>
      <c r="Y6" s="417" t="n"/>
      <c r="Z6" s="1175" t="n"/>
      <c r="AA6" s="1175" t="n"/>
      <c r="AB6" s="1175" t="n"/>
    </row>
    <row r="7" ht="38.25" customHeight="1" s="683">
      <c r="A7" s="593" t="inlineStr">
        <is>
          <t>楊帆婷</t>
        </is>
      </c>
      <c r="B7" s="587" t="inlineStr">
        <is>
          <t>發生(攔查)地點</t>
        </is>
      </c>
      <c r="C7" s="581" t="inlineStr">
        <is>
          <t>臺北市信義區吳興街206號</t>
        </is>
      </c>
      <c r="D7" s="579" t="n"/>
      <c r="E7" s="576" t="n"/>
      <c r="G7" s="227">
        <f>HLOOKUP($H$14,調閱用!$1:$1048576,4,0)</f>
        <v/>
      </c>
      <c r="H7" s="577" t="n">
        <v>0.67</v>
      </c>
      <c r="N7" s="312" t="inlineStr">
        <is>
          <t>移置車輛保管單號</t>
        </is>
      </c>
      <c r="O7" s="575" t="inlineStr">
        <is>
          <t>24ah5s00e</t>
        </is>
      </c>
      <c r="P7" s="576" t="n"/>
      <c r="T7" s="584" t="n"/>
      <c r="U7" s="585" t="n"/>
      <c r="V7" s="585" t="n"/>
      <c r="W7" s="585" t="n"/>
      <c r="X7" s="586" t="n"/>
      <c r="Y7" s="417" t="n"/>
      <c r="Z7" s="1175" t="n"/>
      <c r="AA7" s="1175" t="n"/>
      <c r="AB7" s="1175" t="n"/>
      <c r="AL7" s="601" t="n"/>
      <c r="AM7" s="601" t="n"/>
      <c r="AN7" s="601" t="n"/>
    </row>
    <row r="8" ht="30.75" customHeight="1" s="683">
      <c r="A8" s="593" t="inlineStr">
        <is>
          <t>楊妍煦</t>
        </is>
      </c>
      <c r="B8" s="578" t="inlineStr">
        <is>
          <t>發生日期</t>
        </is>
      </c>
      <c r="C8" s="1304" t="n">
        <v>11509121218</v>
      </c>
      <c r="D8" s="579" t="n"/>
      <c r="E8" s="576" t="n"/>
      <c r="G8" s="227">
        <f>HLOOKUP($H$14,調閱用!$1:$1048576,5,0)</f>
        <v/>
      </c>
      <c r="H8" s="581" t="n">
        <v>400</v>
      </c>
      <c r="I8" s="146" t="n"/>
      <c r="N8" s="578" t="inlineStr">
        <is>
          <t>查獲人員</t>
        </is>
      </c>
      <c r="O8" s="577" t="inlineStr">
        <is>
          <t>蘇詠棠</t>
        </is>
      </c>
      <c r="P8" s="576" t="n"/>
      <c r="S8" s="35" t="inlineStr">
        <is>
          <t>違反事實</t>
        </is>
      </c>
      <c r="T8" s="581">
        <f>IFERROR(IF(輸入!$C$2="","",HLOOKUP(輸入!$C$2,調閱用!$I$1:$K$11,11,0)),"")</f>
        <v/>
      </c>
      <c r="U8" s="582" t="n"/>
      <c r="V8" s="582" t="n"/>
      <c r="W8" s="582" t="n"/>
      <c r="X8" s="583" t="n"/>
      <c r="Y8" s="418" t="n"/>
      <c r="Z8" s="1156" t="n"/>
      <c r="AA8" s="1156" t="n"/>
      <c r="AB8" s="1156" t="n"/>
    </row>
    <row r="9" ht="40.5" customHeight="1" s="683">
      <c r="A9" s="593" t="inlineStr">
        <is>
          <t>施善為</t>
        </is>
      </c>
      <c r="B9" s="38" t="inlineStr">
        <is>
          <t>發現日期</t>
        </is>
      </c>
      <c r="C9" s="1302" t="n"/>
      <c r="D9" s="579" t="n"/>
      <c r="E9" s="576" t="n"/>
      <c r="G9" s="227">
        <f>HLOOKUP($H$14,調閱用!$1:$1048576,6,0)</f>
        <v/>
      </c>
      <c r="H9" s="581" t="n"/>
      <c r="N9" s="36" t="n"/>
      <c r="O9" s="592" t="n"/>
      <c r="T9" s="584" t="n"/>
      <c r="U9" s="585" t="n"/>
      <c r="V9" s="585" t="n"/>
      <c r="W9" s="585" t="n"/>
      <c r="X9" s="586" t="n"/>
      <c r="Y9" s="418" t="n"/>
      <c r="Z9" s="1156" t="n"/>
      <c r="AA9" s="1156" t="n"/>
      <c r="AB9" s="1156" t="n"/>
    </row>
    <row r="10" ht="39" customHeight="1" s="683">
      <c r="A10" s="593" t="inlineStr">
        <is>
          <t>林士閔</t>
        </is>
      </c>
      <c r="B10" s="578" t="inlineStr">
        <is>
          <t>報案日期</t>
        </is>
      </c>
      <c r="C10" s="1302" t="n">
        <v>11509121330</v>
      </c>
      <c r="D10" s="579" t="n"/>
      <c r="E10" s="576" t="n"/>
      <c r="G10" s="227">
        <f>HLOOKUP($H$14,調閱用!$1:$1048576,7,0)</f>
        <v/>
      </c>
      <c r="H10" s="577" t="n"/>
    </row>
    <row r="11" ht="39" customHeight="1" s="683">
      <c r="B11" s="578" t="inlineStr">
        <is>
          <t>查獲日期</t>
        </is>
      </c>
      <c r="C11" s="1302" t="n"/>
      <c r="D11" s="579" t="n"/>
      <c r="E11" s="576" t="n"/>
      <c r="G11" s="227">
        <f>HLOOKUP($H$14,調閱用!$1:$1048576,8,0)</f>
        <v/>
      </c>
      <c r="H11" s="577" t="inlineStr">
        <is>
          <t>自小客</t>
        </is>
      </c>
      <c r="V11" s="1156" t="n"/>
    </row>
    <row r="12" ht="31.5" customHeight="1" s="683">
      <c r="B12" s="578" t="inlineStr">
        <is>
          <t>證明單編號</t>
        </is>
      </c>
      <c r="C12" s="577" t="inlineStr">
        <is>
          <t>Z115099AWBN1NGL</t>
        </is>
      </c>
      <c r="D12" s="579" t="n"/>
      <c r="E12" s="576" t="n"/>
      <c r="G12" s="227">
        <f>HLOOKUP($H$14,調閱用!$1:$1048576,9,0)</f>
        <v/>
      </c>
      <c r="H12" s="577" t="inlineStr">
        <is>
          <t>abc-123</t>
        </is>
      </c>
      <c r="V12" s="1156" t="n"/>
    </row>
    <row r="13" ht="27.75" customHeight="1" s="683">
      <c r="B13" s="578" t="inlineStr">
        <is>
          <t>查獲地址</t>
        </is>
      </c>
      <c r="C13" s="1305" t="n"/>
      <c r="D13" s="579" t="n"/>
      <c r="E13" s="576" t="n"/>
      <c r="F13" s="1306" t="n"/>
      <c r="G13" s="227">
        <f>HLOOKUP($H$14,調閱用!$1:$1048576,10,0)</f>
        <v/>
      </c>
      <c r="H13" s="174" t="n"/>
      <c r="Q13" s="1306" t="n"/>
      <c r="R13" s="1306" t="n"/>
      <c r="V13" s="1156" t="n"/>
      <c r="X13" s="48" t="n"/>
      <c r="Y13" s="48" t="n"/>
      <c r="Z13" s="48" t="n"/>
      <c r="AA13" s="48" t="n"/>
      <c r="AB13" s="48" t="n"/>
      <c r="AC13" s="48" t="n"/>
      <c r="AD13" s="48" t="n"/>
      <c r="AE13" s="48" t="n"/>
    </row>
    <row r="14" ht="26.25" customHeight="1" s="683">
      <c r="A14" s="36" t="n"/>
      <c r="B14" s="598" t="inlineStr">
        <is>
          <t>公文文號：</t>
        </is>
      </c>
      <c r="C14" s="598" t="n"/>
      <c r="D14" s="579" t="n"/>
      <c r="E14" s="576" t="n"/>
      <c r="F14" s="46" t="n"/>
      <c r="G14" s="389" t="inlineStr">
        <is>
          <t>調閱種類</t>
        </is>
      </c>
      <c r="H14" s="388" t="inlineStr">
        <is>
          <t>監視器</t>
        </is>
      </c>
      <c r="Q14" s="46" t="n"/>
      <c r="R14" s="46" t="n"/>
      <c r="V14" s="1156" t="n"/>
      <c r="X14" s="36" t="n"/>
      <c r="Y14" s="1307" t="n"/>
      <c r="Z14" s="1307" t="n"/>
      <c r="AA14" s="1307" t="n"/>
      <c r="AB14" s="1307" t="n"/>
      <c r="AC14" s="1307" t="n"/>
      <c r="AD14" s="1307" t="n"/>
      <c r="AE14" s="1307" t="n"/>
      <c r="AG14" s="145" t="n"/>
      <c r="AH14" s="36" t="n"/>
    </row>
    <row r="15" ht="21.75" customHeight="1" s="683">
      <c r="A15" s="36" t="n"/>
      <c r="B15" s="36" t="n"/>
      <c r="C15" s="36" t="n"/>
      <c r="D15" s="1308" t="n"/>
      <c r="E15" s="36" t="n"/>
      <c r="F15" s="36" t="n"/>
      <c r="Q15" s="36" t="n"/>
      <c r="R15" s="36" t="n"/>
      <c r="V15" s="1156" t="n"/>
      <c r="X15" s="36" t="n"/>
      <c r="Y15" s="1309" t="n"/>
      <c r="Z15" s="1309" t="n"/>
      <c r="AA15" s="1309" t="n"/>
      <c r="AB15" s="1309" t="n"/>
      <c r="AC15" s="1309" t="n"/>
      <c r="AD15" s="1309" t="n"/>
      <c r="AE15" s="1309" t="n"/>
      <c r="AG15" s="145" t="n"/>
      <c r="AH15" s="36" t="n"/>
    </row>
    <row r="16" ht="33.75" customFormat="1" customHeight="1" s="674">
      <c r="A16" s="592" t="n"/>
      <c r="B16" s="333" t="inlineStr">
        <is>
          <t>姓名</t>
        </is>
      </c>
      <c r="C16" s="306" t="inlineStr">
        <is>
          <t>身分證字號</t>
        </is>
      </c>
      <c r="D16" s="34" t="inlineStr">
        <is>
          <t>出生地</t>
        </is>
      </c>
      <c r="E16" s="34" t="inlineStr">
        <is>
          <t>電話號碼</t>
        </is>
      </c>
      <c r="F16" s="34" t="inlineStr">
        <is>
          <t>出生年月日</t>
        </is>
      </c>
      <c r="G16" s="34" t="inlineStr">
        <is>
          <t>戶籍地</t>
        </is>
      </c>
      <c r="H16" s="34" t="inlineStr">
        <is>
          <t>現住地</t>
        </is>
      </c>
      <c r="I16" s="34" t="inlineStr">
        <is>
          <t>職業</t>
        </is>
      </c>
      <c r="J16" s="34" t="inlineStr">
        <is>
          <t>教育程度</t>
        </is>
      </c>
      <c r="K16" s="157" t="inlineStr">
        <is>
          <t>年齡</t>
        </is>
      </c>
      <c r="L16" s="157" t="inlineStr">
        <is>
          <t>姓別</t>
        </is>
      </c>
      <c r="M16" s="39" t="inlineStr">
        <is>
          <t>關係人</t>
        </is>
      </c>
      <c r="N16" s="34" t="inlineStr">
        <is>
          <t>國籍</t>
        </is>
      </c>
      <c r="O16" s="34" t="inlineStr">
        <is>
          <t>移送書號</t>
        </is>
      </c>
      <c r="Q16" s="420" t="n"/>
      <c r="R16" s="423" t="n"/>
      <c r="S16" s="578" t="inlineStr">
        <is>
          <t>毒品試劑公司</t>
        </is>
      </c>
      <c r="T16" s="581" t="inlineStr">
        <is>
          <t>臺灣尖端先進生技醫藥股份有限公司</t>
        </is>
      </c>
      <c r="U16" s="576" t="n"/>
      <c r="V16" s="1156" t="n"/>
      <c r="X16" s="46" t="n"/>
      <c r="Y16" s="592" t="n"/>
      <c r="Z16" s="592" t="n"/>
      <c r="AA16" s="592" t="n"/>
      <c r="AB16" s="592" t="n"/>
      <c r="AC16" s="592" t="n"/>
      <c r="AD16" s="592" t="n"/>
      <c r="AE16" s="592" t="n"/>
      <c r="AF16" s="592" t="n"/>
      <c r="AG16" s="592" t="n"/>
      <c r="AH16" s="592" t="n"/>
      <c r="AI16" s="592" t="n"/>
      <c r="AJ16" s="592" t="n"/>
      <c r="AK16" s="592" t="n"/>
      <c r="AL16" s="592" t="n"/>
      <c r="AM16" s="592" t="n"/>
      <c r="AN16" s="592" t="n"/>
    </row>
    <row r="17" ht="42.75" customHeight="1" s="683">
      <c r="A17" s="593">
        <f>IF(COUNTIF('呈報單 多人'!$B$7:$E$41,B18)&gt;0,"",MAX(輸入!$A$16:A16)+1)</f>
        <v/>
      </c>
      <c r="B17" s="338" t="inlineStr">
        <is>
          <t>黃軾錦</t>
        </is>
      </c>
      <c r="C17" s="335" t="inlineStr">
        <is>
          <t>C121205026</t>
        </is>
      </c>
      <c r="D17" s="335" t="inlineStr">
        <is>
          <t>基隆市</t>
        </is>
      </c>
      <c r="E17" s="1310" t="n">
        <v>989987244</v>
      </c>
      <c r="F17" s="1311" t="n">
        <v>740911</v>
      </c>
      <c r="G17" s="386" t="inlineStr">
        <is>
          <t>基隆市七堵區百一街149號</t>
        </is>
      </c>
      <c r="H17" s="432" t="inlineStr">
        <is>
          <t>基隆市七堵區百一街149號</t>
        </is>
      </c>
      <c r="I17" s="336" t="inlineStr">
        <is>
          <t>司機</t>
        </is>
      </c>
      <c r="J17" s="336" t="inlineStr">
        <is>
          <t>大學畢業</t>
        </is>
      </c>
      <c r="K17" s="1312">
        <f>IF(ISBLANK($C17),"",下拉用!$R2)</f>
        <v/>
      </c>
      <c r="L17" s="1312">
        <f>IF(ISBLANK($C17),"",下拉用!$S2)</f>
        <v/>
      </c>
      <c r="M17" s="336" t="inlineStr">
        <is>
          <t>被害人</t>
        </is>
      </c>
      <c r="N17" s="337" t="n"/>
      <c r="O17" s="337" t="n"/>
      <c r="Q17" s="1313">
        <f>CONCATENATE(LEFT(F17,2),".",MID(F17,3,2),".",RIGHT(F17,2),)</f>
        <v/>
      </c>
      <c r="R17" s="1314" t="n"/>
      <c r="S17" s="421" t="inlineStr">
        <is>
          <t>單位</t>
        </is>
      </c>
      <c r="T17" s="47" t="n">
        <v>115</v>
      </c>
      <c r="U17" s="47" t="inlineStr">
        <is>
          <t>年</t>
        </is>
      </c>
      <c r="X17" s="36" t="n"/>
      <c r="Y17" s="592" t="n"/>
    </row>
    <row r="18" ht="45.75" customHeight="1" s="683">
      <c r="A18" s="593">
        <f>IF(COUNTIF('呈報單 多人'!$B$7:$E$41,#REF!)&gt;0,"",MAX(輸入!$A$16:A17)+1)</f>
        <v/>
      </c>
      <c r="B18" s="331" t="inlineStr">
        <is>
          <t>顏文祥</t>
        </is>
      </c>
      <c r="C18" s="326" t="inlineStr">
        <is>
          <t>A126819564</t>
        </is>
      </c>
      <c r="D18" s="326" t="inlineStr">
        <is>
          <t>臺北市</t>
        </is>
      </c>
      <c r="E18" s="1315" t="n">
        <v>935680306</v>
      </c>
      <c r="F18" s="1316" t="n">
        <v>840306</v>
      </c>
      <c r="G18" s="387" t="inlineStr">
        <is>
          <t>臺北市信義區信義路五段150巷477號</t>
        </is>
      </c>
      <c r="H18" s="342" t="inlineStr">
        <is>
          <t>臺北市信義區信義路五段150巷477號</t>
        </is>
      </c>
      <c r="I18" s="162" t="inlineStr">
        <is>
          <t>收銀員</t>
        </is>
      </c>
      <c r="J18" s="664" t="inlineStr">
        <is>
          <t>大學畢業</t>
        </is>
      </c>
      <c r="K18" s="157">
        <f>IF(ISBLANK($C18),"",下拉用!$R3)</f>
        <v/>
      </c>
      <c r="L18" s="1317">
        <f>IF(ISBLANK($C18),"",下拉用!$S3)</f>
        <v/>
      </c>
      <c r="M18" s="34" t="n"/>
      <c r="N18" s="327" t="n"/>
      <c r="O18" s="138" t="n"/>
      <c r="Q18" s="1313">
        <f>CONCATENATE(LEFT(F18,2),".",MID(F18,3,2),".",RIGHT(F18,2),)</f>
        <v/>
      </c>
      <c r="R18" s="1314" t="n"/>
      <c r="S18" s="597" t="inlineStr">
        <is>
          <t>臺北市</t>
        </is>
      </c>
      <c r="T18" s="577" t="inlineStr">
        <is>
          <t>政府警察局</t>
        </is>
      </c>
      <c r="U18" s="576" t="n"/>
      <c r="X18" s="36" t="n"/>
      <c r="Y18" s="592" t="n"/>
    </row>
    <row r="19" ht="42.75" customHeight="1" s="683">
      <c r="A19" s="593">
        <f>IF(COUNTIF('呈報單 多人'!$B$7:$E$41,B19)&gt;0,"",MAX(輸入!$A$16:A18)+1)</f>
        <v/>
      </c>
      <c r="B19" s="339" t="inlineStr">
        <is>
          <t>張鈞揮</t>
        </is>
      </c>
      <c r="C19" s="336" t="inlineStr">
        <is>
          <t>A125142591</t>
        </is>
      </c>
      <c r="D19" s="336" t="inlineStr">
        <is>
          <t>臺北市</t>
        </is>
      </c>
      <c r="E19" s="1318" t="n">
        <v>921053420</v>
      </c>
      <c r="F19" s="1319" t="n">
        <v>700131</v>
      </c>
      <c r="G19" s="386" t="inlineStr">
        <is>
          <t>臺北市內湖區康樂街125巷4號5樓</t>
        </is>
      </c>
      <c r="H19" s="337" t="inlineStr">
        <is>
          <t>臺北市信義區信義路五段150巷487號</t>
        </is>
      </c>
      <c r="I19" s="162" t="inlineStr">
        <is>
          <t>收銀員</t>
        </is>
      </c>
      <c r="J19" s="664" t="inlineStr">
        <is>
          <t>高職畢業</t>
        </is>
      </c>
      <c r="K19" s="1312">
        <f>IF(ISBLANK($C19),"",下拉用!$R4)</f>
        <v/>
      </c>
      <c r="L19" s="1312">
        <f>IF(ISBLANK($C19),"",下拉用!$S4)</f>
        <v/>
      </c>
      <c r="M19" s="336" t="n"/>
      <c r="N19" s="337" t="n"/>
      <c r="O19" s="337" t="n"/>
      <c r="Q19" s="1313">
        <f>CONCATENATE(LEFT(F19,2),".",MID(F19,3,2),".",RIGHT(F19,2),)</f>
        <v/>
      </c>
      <c r="R19" s="1314" t="n"/>
      <c r="S19" s="597" t="inlineStr">
        <is>
          <t>信義</t>
        </is>
      </c>
      <c r="T19" s="577" t="inlineStr">
        <is>
          <t>分局</t>
        </is>
      </c>
      <c r="U19" s="576" t="n"/>
      <c r="X19" s="36" t="n"/>
      <c r="Y19" s="592" t="n"/>
    </row>
    <row r="20" ht="51.75" customHeight="1" s="683">
      <c r="A20" s="593">
        <f>IF(COUNTIF('呈報單 多人'!$B$7:$E$41,B20)&gt;0,"",MAX(輸入!$A$16:A19)+1)</f>
        <v/>
      </c>
      <c r="B20" s="331" t="inlineStr">
        <is>
          <t>陳之浩</t>
        </is>
      </c>
      <c r="C20" s="326" t="inlineStr">
        <is>
          <t>A125985630</t>
        </is>
      </c>
      <c r="D20" s="326" t="inlineStr">
        <is>
          <t>高雄市</t>
        </is>
      </c>
      <c r="E20" s="1315" t="n">
        <v>933891280</v>
      </c>
      <c r="F20" s="1316" t="n">
        <v>530823</v>
      </c>
      <c r="G20" s="387" t="inlineStr">
        <is>
          <t>臺北市文山區福興路99號7樓</t>
        </is>
      </c>
      <c r="H20" s="342" t="inlineStr">
        <is>
          <t>臺北市文山區福興路99號7樓</t>
        </is>
      </c>
      <c r="I20" s="162" t="inlineStr">
        <is>
          <t>服務業</t>
        </is>
      </c>
      <c r="J20" s="664" t="inlineStr">
        <is>
          <t>大學畢業</t>
        </is>
      </c>
      <c r="K20" s="1317">
        <f>IF(ISBLANK($C20),"",下拉用!$R5)</f>
        <v/>
      </c>
      <c r="L20" s="1317">
        <f>IF(ISBLANK($C20),"",下拉用!$S5)</f>
        <v/>
      </c>
      <c r="M20" s="37" t="n"/>
      <c r="N20" s="664" t="n"/>
      <c r="O20" s="664" t="n"/>
      <c r="Q20" s="1320">
        <f>CONCATENATE(LEFT(F20,2),".",MID(F20,3,2),".",RIGHT(F20,2),)</f>
        <v/>
      </c>
      <c r="R20" s="1314" t="n"/>
      <c r="S20" s="597" t="inlineStr">
        <is>
          <t>吳興街</t>
        </is>
      </c>
      <c r="T20" s="577" t="inlineStr">
        <is>
          <t>派出所</t>
        </is>
      </c>
      <c r="U20" s="576" t="n"/>
      <c r="Y20" s="592" t="n"/>
    </row>
    <row r="21" ht="48" customHeight="1" s="683">
      <c r="A21" s="593">
        <f>IF(COUNTIF('呈報單 多人'!$B$7:$E$41,B21)&gt;0,"",MAX(輸入!$A$16:A20)+1)</f>
        <v/>
      </c>
      <c r="B21" s="339" t="inlineStr">
        <is>
          <t>楊子慶</t>
        </is>
      </c>
      <c r="C21" s="336" t="inlineStr">
        <is>
          <t>A130510449</t>
        </is>
      </c>
      <c r="D21" s="336" t="inlineStr">
        <is>
          <t>基隆市</t>
        </is>
      </c>
      <c r="E21" s="1318" t="n">
        <v>921332553</v>
      </c>
      <c r="F21" s="1319" t="n">
        <v>871015</v>
      </c>
      <c r="G21" s="386" t="inlineStr">
        <is>
          <t>臺北市松山區民生東路五段229號</t>
        </is>
      </c>
      <c r="H21" s="337" t="inlineStr">
        <is>
          <t>臺北市松山區民生東路五段229號</t>
        </is>
      </c>
      <c r="I21" s="162" t="inlineStr">
        <is>
          <t>服務業</t>
        </is>
      </c>
      <c r="J21" s="664" t="inlineStr">
        <is>
          <t>大學畢業</t>
        </is>
      </c>
      <c r="K21" s="1312">
        <f>IF(ISBLANK($C21),"",下拉用!$R6)</f>
        <v/>
      </c>
      <c r="L21" s="1312">
        <f>IF(ISBLANK($C21),"",下拉用!$S6)</f>
        <v/>
      </c>
      <c r="M21" s="336" t="n"/>
      <c r="N21" s="337" t="n"/>
      <c r="O21" s="337" t="n"/>
      <c r="Q21" s="1313">
        <f>CONCATENATE(LEFT(F21,2),".",MID(F21,3,2),".",RIGHT(F21,2),)</f>
        <v/>
      </c>
      <c r="R21" s="1314" t="n"/>
      <c r="S21" s="597" t="inlineStr">
        <is>
          <t>單位電話</t>
        </is>
      </c>
      <c r="T21" s="577" t="inlineStr">
        <is>
          <t>(02)27398997</t>
        </is>
      </c>
      <c r="U21" s="576" t="n"/>
      <c r="X21" s="36" t="n"/>
      <c r="Y21" s="592" t="n"/>
    </row>
    <row r="22" ht="57" customHeight="1" s="683">
      <c r="A22" s="593">
        <f>IF(COUNTIF('呈報單 多人'!$B$7:$E$41,B22)&gt;0,"",MAX(輸入!$A$16:A21)+1)</f>
        <v/>
      </c>
      <c r="B22" s="332" t="inlineStr">
        <is>
          <t>陳志偉</t>
        </is>
      </c>
      <c r="C22" s="162" t="inlineStr">
        <is>
          <t>F128549435</t>
        </is>
      </c>
      <c r="D22" s="162" t="inlineStr">
        <is>
          <t>臺北市</t>
        </is>
      </c>
      <c r="E22" s="1321" t="n"/>
      <c r="F22" s="1322" t="n">
        <v>821203</v>
      </c>
      <c r="G22" s="991" t="inlineStr">
        <is>
          <t>新北市板橋區中山路二段412巷29弄22之1號四樓</t>
        </is>
      </c>
      <c r="H22" s="664" t="inlineStr">
        <is>
          <t>新北市板橋區中山路二段412巷29弄22之1號四樓</t>
        </is>
      </c>
      <c r="I22" s="162" t="inlineStr">
        <is>
          <t>服務業</t>
        </is>
      </c>
      <c r="J22" s="664" t="inlineStr">
        <is>
          <t>大學畢業</t>
        </is>
      </c>
      <c r="K22" s="1317">
        <f>IF(ISBLANK($C22),"",下拉用!$R7)</f>
        <v/>
      </c>
      <c r="L22" s="1317">
        <f>IF(ISBLANK($C22),"",下拉用!$S7)</f>
        <v/>
      </c>
      <c r="M22" s="37" t="n"/>
      <c r="N22" s="664" t="n"/>
      <c r="O22" s="664" t="n"/>
      <c r="Q22" s="1320">
        <f>CONCATENATE(LEFT(F22,2),".",MID(F22,3,2),".",RIGHT(F22,2),)</f>
        <v/>
      </c>
      <c r="R22" s="1314" t="n"/>
      <c r="S22" s="597" t="inlineStr">
        <is>
          <t>單位傳真</t>
        </is>
      </c>
      <c r="T22" s="577" t="inlineStr">
        <is>
          <t>(02)27398997</t>
        </is>
      </c>
      <c r="U22" s="576" t="n"/>
      <c r="Y22" s="592" t="n"/>
    </row>
    <row r="23" ht="47.25" customHeight="1" s="683">
      <c r="A23" s="593">
        <f>IF(COUNTIF('呈報單 多人'!$B$7:$E$41,B23)&gt;0,"",MAX(輸入!$A$16:A22)+1)</f>
        <v/>
      </c>
      <c r="B23" s="339" t="inlineStr">
        <is>
          <t>楊帆婷</t>
        </is>
      </c>
      <c r="C23" s="336" t="inlineStr">
        <is>
          <t>A226266850</t>
        </is>
      </c>
      <c r="D23" s="336" t="inlineStr">
        <is>
          <t>臺北市</t>
        </is>
      </c>
      <c r="E23" s="1318" t="n">
        <v>953515594</v>
      </c>
      <c r="F23" s="1319" t="n">
        <v>780817</v>
      </c>
      <c r="G23" s="386" t="inlineStr">
        <is>
          <t>臺北市信義區松山路650巷15弄26號</t>
        </is>
      </c>
      <c r="H23" s="337" t="inlineStr">
        <is>
          <t>臺北市信義區松山路650巷15弄26號</t>
        </is>
      </c>
      <c r="I23" s="162" t="inlineStr">
        <is>
          <t>服務業</t>
        </is>
      </c>
      <c r="J23" s="664" t="inlineStr">
        <is>
          <t>大學畢業</t>
        </is>
      </c>
      <c r="K23" s="1312">
        <f>IF(ISBLANK($C23),"",下拉用!$R8)</f>
        <v/>
      </c>
      <c r="L23" s="1312">
        <f>IF(ISBLANK($C23),"",下拉用!$S8)</f>
        <v/>
      </c>
      <c r="M23" s="336" t="n"/>
      <c r="N23" s="337" t="n"/>
      <c r="O23" s="337" t="n"/>
      <c r="Q23" s="1313">
        <f>CONCATENATE(LEFT(F23,2),".",MID(F23,3,2),".",RIGHT(F23,2),)</f>
        <v/>
      </c>
      <c r="R23" s="1314" t="n"/>
      <c r="S23" s="580" t="inlineStr">
        <is>
          <t>台北市信義區吳興街262號</t>
        </is>
      </c>
      <c r="T23" s="579" t="n"/>
      <c r="U23" s="576" t="n"/>
      <c r="Y23" s="592" t="n"/>
    </row>
    <row r="24" ht="51.75" customHeight="1" s="683">
      <c r="A24" s="593">
        <f>IF(COUNTIF('呈報單 多人'!$B$7:$E$41,B24)&gt;0,"",MAX(輸入!$A$16:A23)+1)</f>
        <v/>
      </c>
      <c r="B24" s="331" t="inlineStr">
        <is>
          <t>楊妍煦</t>
        </is>
      </c>
      <c r="C24" s="326" t="inlineStr">
        <is>
          <t>a226168126</t>
        </is>
      </c>
      <c r="D24" s="326" t="inlineStr">
        <is>
          <t>臺北市</t>
        </is>
      </c>
      <c r="E24" s="1315" t="n">
        <v>935119410</v>
      </c>
      <c r="F24" s="1316" t="n">
        <v>751008</v>
      </c>
      <c r="G24" s="387" t="inlineStr">
        <is>
          <t>臺北市士林區中社路一段80號三樓</t>
        </is>
      </c>
      <c r="H24" s="342" t="inlineStr">
        <is>
          <t>臺北市士林區中社路一段80號三樓</t>
        </is>
      </c>
      <c r="I24" s="326" t="inlineStr">
        <is>
          <t>服務業</t>
        </is>
      </c>
      <c r="J24" s="342" t="inlineStr">
        <is>
          <t>高中畢業</t>
        </is>
      </c>
      <c r="K24" s="1317">
        <f>IF(ISBLANK($C24),"",下拉用!$R9)</f>
        <v/>
      </c>
      <c r="L24" s="1317">
        <f>IF(ISBLANK($C24),"",下拉用!$S9)</f>
        <v/>
      </c>
      <c r="M24" s="37" t="n"/>
      <c r="N24" s="664" t="n"/>
      <c r="O24" s="664" t="n"/>
      <c r="Q24" s="1320">
        <f>CONCATENATE(LEFT(F24,2),".",MID(F24,3,2),".",RIGHT(F24,2),)</f>
        <v/>
      </c>
      <c r="R24" s="1314" t="n"/>
      <c r="S24" s="422" t="inlineStr">
        <is>
          <t>拍照人</t>
        </is>
      </c>
      <c r="T24" s="596" t="inlineStr">
        <is>
          <t>警員</t>
        </is>
      </c>
      <c r="U24" s="597" t="inlineStr">
        <is>
          <t>蘇詠棠</t>
        </is>
      </c>
      <c r="Y24" s="592" t="n"/>
    </row>
    <row r="25" ht="56.25" customHeight="1" s="683">
      <c r="A25" s="593">
        <f>IF(COUNTIF('呈報單 多人'!$B$7:$E$41,B25)&gt;0,"",MAX(輸入!$A$16:A24)+1)</f>
        <v/>
      </c>
      <c r="B25" s="339" t="inlineStr">
        <is>
          <t>施善為</t>
        </is>
      </c>
      <c r="C25" s="336" t="inlineStr">
        <is>
          <t>F131189498</t>
        </is>
      </c>
      <c r="D25" s="336" t="inlineStr">
        <is>
          <t>新北市</t>
        </is>
      </c>
      <c r="E25" s="1318" t="n">
        <v>958579134</v>
      </c>
      <c r="F25" s="1319" t="n">
        <v>910304</v>
      </c>
      <c r="G25" s="386" t="inlineStr">
        <is>
          <t>新北市永和區文化路101號三樓</t>
        </is>
      </c>
      <c r="H25" s="337" t="inlineStr">
        <is>
          <t>新北市永和區文化路101號三樓</t>
        </is>
      </c>
      <c r="I25" s="162" t="inlineStr">
        <is>
          <t>服務業</t>
        </is>
      </c>
      <c r="J25" s="664" t="inlineStr">
        <is>
          <t>大學畢業</t>
        </is>
      </c>
      <c r="K25" s="1312">
        <f>IF(ISBLANK($C25),"",下拉用!$R10)</f>
        <v/>
      </c>
      <c r="L25" s="1312">
        <f>IF(ISBLANK($C25),"",下拉用!$S10)</f>
        <v/>
      </c>
      <c r="M25" s="336" t="n"/>
      <c r="N25" s="337" t="n"/>
      <c r="O25" s="337" t="n"/>
      <c r="Q25" s="1313">
        <f>CONCATENATE(LEFT(F25,2),".",MID(F25,3,2),".",RIGHT(F25,2),)</f>
        <v/>
      </c>
      <c r="R25" s="1314" t="n"/>
      <c r="S25" s="597" t="inlineStr">
        <is>
          <t>um1520@gov.taipei</t>
        </is>
      </c>
      <c r="T25" s="579" t="n"/>
      <c r="U25" s="576" t="n"/>
      <c r="Y25" s="592" t="n"/>
    </row>
    <row r="26" ht="52.5" customHeight="1" s="683">
      <c r="A26" s="593">
        <f>IF(COUNTIF('呈報單 多人'!$B$7:$E$41,B26)&gt;0,"",MAX(輸入!$A$16:A25)+1)</f>
        <v/>
      </c>
      <c r="B26" s="334" t="inlineStr">
        <is>
          <t>林士閔</t>
        </is>
      </c>
      <c r="C26" s="162" t="inlineStr">
        <is>
          <t>g121610156</t>
        </is>
      </c>
      <c r="D26" s="162" t="inlineStr">
        <is>
          <t>臺北市</t>
        </is>
      </c>
      <c r="E26" s="1321" t="n">
        <v>938451126</v>
      </c>
      <c r="F26" s="1322" t="n">
        <v>721126</v>
      </c>
      <c r="G26" s="991" t="inlineStr">
        <is>
          <t>桃園市八德區永福街132-3號</t>
        </is>
      </c>
      <c r="H26" s="664" t="inlineStr">
        <is>
          <t>桃園市八德區永福街132-3號</t>
        </is>
      </c>
      <c r="I26" s="162" t="inlineStr">
        <is>
          <t>服務業</t>
        </is>
      </c>
      <c r="J26" s="664" t="inlineStr">
        <is>
          <t>高職畢業</t>
        </is>
      </c>
      <c r="K26" s="1317">
        <f>IF(ISBLANK($C26),"",下拉用!$R11)</f>
        <v/>
      </c>
      <c r="L26" s="1317">
        <f>IF(ISBLANK($C26),"",下拉用!$S11)</f>
        <v/>
      </c>
      <c r="M26" s="37" t="n"/>
      <c r="N26" s="664" t="n"/>
      <c r="O26" s="664" t="n"/>
      <c r="Q26" s="1320">
        <f>CONCATENATE(LEFT(F26,2),".",MID(F26,3,2),".",RIGHT(F26,2),)</f>
        <v/>
      </c>
      <c r="R26" s="1323" t="n"/>
      <c r="S26" s="403" t="n"/>
      <c r="U26" s="782" t="n"/>
      <c r="Y26" s="592" t="n"/>
    </row>
    <row r="27" ht="24.75" customHeight="1" s="683">
      <c r="N27" s="674" t="n"/>
      <c r="O27" s="674" t="n"/>
    </row>
    <row r="28">
      <c r="AD28" s="36" t="n"/>
      <c r="AE28" s="36" t="n"/>
      <c r="AF28" s="36" t="n"/>
      <c r="AG28" s="36" t="n"/>
      <c r="AH28" s="36" t="n"/>
      <c r="AI28" s="36" t="n"/>
      <c r="AJ28" s="36" t="n"/>
      <c r="AK28" s="592" t="n"/>
      <c r="AL28" s="36" t="n"/>
      <c r="AM28" s="36" t="n"/>
      <c r="AN28" s="36" t="n"/>
    </row>
    <row r="32" ht="18" customHeight="1" s="683"/>
    <row r="41" ht="42" customHeight="1" s="683"/>
    <row r="42" ht="45" customHeight="1" s="683"/>
  </sheetData>
  <mergeCells count="38">
    <mergeCell ref="O7:P7"/>
    <mergeCell ref="O3:P3"/>
    <mergeCell ref="N2:P2"/>
    <mergeCell ref="S23:U23"/>
    <mergeCell ref="T8:X9"/>
    <mergeCell ref="B3:B4"/>
    <mergeCell ref="T2:X3"/>
    <mergeCell ref="T20:U20"/>
    <mergeCell ref="O6:P6"/>
    <mergeCell ref="C9:E9"/>
    <mergeCell ref="C3:E4"/>
    <mergeCell ref="O9:P9"/>
    <mergeCell ref="C12:E12"/>
    <mergeCell ref="C11:E11"/>
    <mergeCell ref="O5:P5"/>
    <mergeCell ref="C5:E6"/>
    <mergeCell ref="T6:X7"/>
    <mergeCell ref="G3:G4"/>
    <mergeCell ref="C8:E8"/>
    <mergeCell ref="C7:E7"/>
    <mergeCell ref="O4:P4"/>
    <mergeCell ref="T21:U21"/>
    <mergeCell ref="C13:E13"/>
    <mergeCell ref="C2:D2"/>
    <mergeCell ref="K2:L2"/>
    <mergeCell ref="H3:H4"/>
    <mergeCell ref="T22:U22"/>
    <mergeCell ref="S25:U25"/>
    <mergeCell ref="B5:B6"/>
    <mergeCell ref="T4:X5"/>
    <mergeCell ref="O8:P8"/>
    <mergeCell ref="T16:U16"/>
    <mergeCell ref="C14:E14"/>
    <mergeCell ref="T19:U19"/>
    <mergeCell ref="T18:U18"/>
    <mergeCell ref="K4:L4"/>
    <mergeCell ref="K3:L3"/>
    <mergeCell ref="C10:E10"/>
  </mergeCells>
  <conditionalFormatting sqref="M17:M26">
    <cfRule type="containsText" priority="14" operator="containsText" dxfId="8" text="證人">
      <formula>NOT(ISERROR(SEARCH("證人",M17)))</formula>
    </cfRule>
    <cfRule type="containsText" priority="15" operator="containsText" dxfId="5" text="涉嫌人">
      <formula>NOT(ISERROR(SEARCH("涉嫌人",M17)))</formula>
    </cfRule>
    <cfRule type="containsText" priority="16" operator="containsText" dxfId="6" text="被害人">
      <formula>NOT(ISERROR(SEARCH("被害人",M17)))</formula>
    </cfRule>
  </conditionalFormatting>
  <conditionalFormatting sqref="M18">
    <cfRule type="containsText" priority="18" operator="containsText" dxfId="5" text="涉嫌人">
      <formula>NOT(ISERROR(SEARCH("涉嫌人",M18)))</formula>
    </cfRule>
  </conditionalFormatting>
  <dataValidations count="6">
    <dataValidation sqref="M17:M26 AM8:XFD8" showDropDown="0" showInputMessage="1" showErrorMessage="1" allowBlank="1" type="list">
      <formula1>人別</formula1>
    </dataValidation>
    <dataValidation sqref="E18 E22 E25" showDropDown="0" showInputMessage="1" showErrorMessage="1" allowBlank="0" operator="equal"/>
    <dataValidation sqref="C17:C26" showDropDown="0" showInputMessage="1" showErrorMessage="1" allowBlank="1" operator="equal"/>
    <dataValidation sqref="E2" showDropDown="0" showInputMessage="1" showErrorMessage="1" allowBlank="1" type="list">
      <formula1>有無涉嫌人</formula1>
    </dataValidation>
    <dataValidation sqref="B17:B26" showDropDown="0" showInputMessage="1" showErrorMessage="1" allowBlank="1" type="list">
      <formula1>$B$17:$B$26</formula1>
    </dataValidation>
    <dataValidation sqref="T26" showDropDown="0" showInputMessage="1" showErrorMessage="1" allowBlank="0"/>
  </dataValidations>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工作表2">
    <outlinePr summaryBelow="1" summaryRight="1"/>
    <pageSetUpPr/>
  </sheetPr>
  <dimension ref="A1:DB18"/>
  <sheetViews>
    <sheetView tabSelected="1" topLeftCell="CD1" zoomScaleNormal="100" workbookViewId="0">
      <selection activeCell="DB2" sqref="DB2"/>
    </sheetView>
  </sheetViews>
  <sheetFormatPr baseColWidth="8" defaultRowHeight="16.5"/>
  <cols>
    <col width="8.375" customWidth="1" style="601" min="1" max="1"/>
    <col width="6.125" customWidth="1" style="601" min="2" max="2"/>
    <col width="6" customWidth="1" style="601" min="3" max="3"/>
    <col width="5.25" customWidth="1" style="601" min="4" max="4"/>
    <col width="6.75" customWidth="1" style="601" min="5" max="5"/>
    <col width="5.375" customWidth="1" style="601" min="6" max="6"/>
    <col width="5.75" customWidth="1" style="601" min="7" max="7"/>
    <col width="6.5" customWidth="1" style="601" min="8" max="8"/>
    <col width="7.125" customWidth="1" style="601" min="9" max="9"/>
    <col width="7.875" customWidth="1" style="601" min="10" max="10"/>
    <col width="8.75" customWidth="1" style="601" min="11" max="11"/>
    <col width="6.75" customWidth="1" style="601" min="12" max="12"/>
    <col width="7.625" customWidth="1" style="601" min="13" max="13"/>
    <col width="8.125" customWidth="1" style="601" min="14" max="14"/>
    <col width="5.125" customWidth="1" style="601" min="15" max="15"/>
    <col width="5.75" customWidth="1" style="601" min="16" max="16"/>
    <col width="5.25" customWidth="1" style="601" min="17" max="17"/>
    <col width="5.625" customWidth="1" style="601" min="18" max="18"/>
    <col width="6.75" customWidth="1" style="601" min="19" max="19"/>
    <col width="5.25" customWidth="1" style="601" min="20" max="20"/>
    <col width="8.25" customWidth="1" style="601" min="21" max="21"/>
    <col width="6.25" customWidth="1" style="601" min="22" max="22"/>
    <col width="6.875" customWidth="1" style="601" min="23" max="23"/>
    <col width="8.875" customWidth="1" style="601" min="24" max="24"/>
    <col width="5.25" customWidth="1" style="601" min="25" max="25"/>
    <col width="6" customWidth="1" style="601" min="26" max="26"/>
    <col width="6.75" customWidth="1" style="601" min="27" max="27"/>
    <col width="5.375" customWidth="1" style="601" min="28" max="30"/>
    <col width="6.625" customWidth="1" style="601" min="31" max="31"/>
    <col width="6.75" customWidth="1" style="601" min="32" max="32"/>
    <col width="6.625" customWidth="1" style="601" min="33" max="33"/>
    <col width="7.25" customWidth="1" style="601" min="34" max="34"/>
    <col width="6.875" customWidth="1" style="601" min="35" max="35"/>
    <col width="5.375" customWidth="1" style="601" min="36" max="36"/>
    <col width="9.125" customWidth="1" style="601" min="37" max="37"/>
    <col width="6.625" customWidth="1" style="601" min="38" max="39"/>
    <col width="6.75" customWidth="1" style="601" min="40" max="40"/>
    <col width="9.375" customWidth="1" style="601" min="41" max="41"/>
    <col width="5.625" customWidth="1" style="601" min="42" max="42"/>
    <col width="6" customWidth="1" style="601" min="43" max="43"/>
    <col width="9" customWidth="1" style="601" min="44" max="64"/>
    <col width="7.125" customWidth="1" style="601" min="65" max="65"/>
    <col width="11.625" customWidth="1" style="601" min="66" max="66"/>
    <col width="9" customWidth="1" style="601" min="67" max="73"/>
    <col width="9.375" customWidth="1" style="601" min="74" max="75"/>
    <col width="9.75" customWidth="1" style="601" min="76" max="76"/>
    <col width="9" customWidth="1" style="601" min="77" max="81"/>
    <col width="9.5" bestFit="1" customWidth="1" style="601" min="82" max="82"/>
    <col width="9" customWidth="1" style="601" min="83" max="84"/>
    <col width="9" customWidth="1" style="601" min="85" max="16384"/>
  </cols>
  <sheetData>
    <row r="1" ht="36" customFormat="1" customHeight="1" s="323">
      <c r="A1" s="164" t="inlineStr">
        <is>
          <t>地點1</t>
        </is>
      </c>
      <c r="B1" s="164" t="inlineStr">
        <is>
          <t>地點2</t>
        </is>
      </c>
      <c r="C1" s="165">
        <f>輸入!$S$21</f>
        <v/>
      </c>
      <c r="D1" s="236">
        <f>輸入!$S$22</f>
        <v/>
      </c>
      <c r="E1" s="353">
        <f>輸入!$B$2</f>
        <v/>
      </c>
      <c r="F1" s="165" t="inlineStr">
        <is>
          <t>現在時間</t>
        </is>
      </c>
      <c r="G1" s="165" t="inlineStr">
        <is>
          <t>日(現在)</t>
        </is>
      </c>
      <c r="H1" s="164" t="inlineStr">
        <is>
          <t>姓名</t>
        </is>
      </c>
      <c r="I1" s="164">
        <f>輸入!$C$16</f>
        <v/>
      </c>
      <c r="J1" s="164">
        <f>輸入!$D$16</f>
        <v/>
      </c>
      <c r="K1" s="164">
        <f>輸入!$E$16</f>
        <v/>
      </c>
      <c r="L1" s="165">
        <f>輸入!$F$16</f>
        <v/>
      </c>
      <c r="M1" s="165">
        <f>輸入!$G$16</f>
        <v/>
      </c>
      <c r="N1" s="165">
        <f>輸入!$H$16</f>
        <v/>
      </c>
      <c r="O1" s="165">
        <f>輸入!$I$16</f>
        <v/>
      </c>
      <c r="P1" s="165">
        <f>輸入!$J$16</f>
        <v/>
      </c>
      <c r="Q1" s="165">
        <f>輸入!$K$16</f>
        <v/>
      </c>
      <c r="R1" s="164">
        <f>輸入!$L$16</f>
        <v/>
      </c>
      <c r="S1" s="165">
        <f>輸入!$M$16</f>
        <v/>
      </c>
      <c r="T1" s="164">
        <f>輸入!$N$16</f>
        <v/>
      </c>
      <c r="U1" s="164">
        <f>輸入!$B$12</f>
        <v/>
      </c>
      <c r="V1" s="164">
        <f>輸入!$O$16</f>
        <v/>
      </c>
      <c r="W1" s="164">
        <f>輸入!$B$10</f>
        <v/>
      </c>
      <c r="X1" s="164">
        <f>輸入!$G$3</f>
        <v/>
      </c>
      <c r="Y1" s="164" t="inlineStr">
        <is>
          <t>攔查地點</t>
        </is>
      </c>
      <c r="Z1" s="164">
        <f>輸入!$J$3</f>
        <v/>
      </c>
      <c r="AA1" s="164">
        <f>輸入!$J$4</f>
        <v/>
      </c>
      <c r="AB1" s="164">
        <f>HLOOKUP(輸入!$H$14,調閱用!$I:$K,2,0)</f>
        <v/>
      </c>
      <c r="AC1" s="164">
        <f>HLOOKUP(輸入!$H$14,調閱用!$I:$K,3,0)</f>
        <v/>
      </c>
      <c r="AD1" s="164">
        <f>HLOOKUP(輸入!$H$14,調閱用!$I:$K,4,0)</f>
        <v/>
      </c>
      <c r="AE1" s="164">
        <f>HLOOKUP(輸入!$H$14,調閱用!$I:$K,5,0)</f>
        <v/>
      </c>
      <c r="AF1" s="164">
        <f>HLOOKUP(輸入!$H$14,調閱用!$I:$K,6,0)</f>
        <v/>
      </c>
      <c r="AG1" s="164">
        <f>HLOOKUP(輸入!$H$14,調閱用!$I:$K,7,0)</f>
        <v/>
      </c>
      <c r="AH1" s="164">
        <f>HLOOKUP(輸入!$H$14,調閱用!$I:$K,8,0)</f>
        <v/>
      </c>
      <c r="AI1" s="164">
        <f>HLOOKUP(輸入!$H$14,調閱用!$I:$K,9,0)</f>
        <v/>
      </c>
      <c r="AJ1" s="164">
        <f>HLOOKUP(輸入!$H$14,調閱用!$I:$K,10,0)</f>
        <v/>
      </c>
      <c r="AK1" s="165">
        <f>輸入!$N$3</f>
        <v/>
      </c>
      <c r="AL1" s="165">
        <f>輸入!$N$4</f>
        <v/>
      </c>
      <c r="AM1" s="165">
        <f>輸入!$N$5</f>
        <v/>
      </c>
      <c r="AN1" s="165">
        <f>輸入!$N$6</f>
        <v/>
      </c>
      <c r="AO1" s="165">
        <f>輸入!$N$7</f>
        <v/>
      </c>
      <c r="AP1" s="322" t="inlineStr">
        <is>
          <t>發生時間</t>
        </is>
      </c>
      <c r="AQ1" s="322">
        <f>輸入!$N$8</f>
        <v/>
      </c>
      <c r="AR1" s="322" t="inlineStr">
        <is>
          <t>問(1.非本國人)</t>
        </is>
      </c>
      <c r="AS1" s="322" t="inlineStr">
        <is>
          <t>問(2.委託書)</t>
        </is>
      </c>
      <c r="AT1" s="322" t="inlineStr">
        <is>
          <t>問(2.搜索扣押)</t>
        </is>
      </c>
      <c r="AU1" s="322" t="inlineStr">
        <is>
          <t>問(2.年籍資料)</t>
        </is>
      </c>
      <c r="AV1" s="322" t="inlineStr">
        <is>
          <t>問(3.認識仇糾)</t>
        </is>
      </c>
      <c r="AW1" s="322" t="inlineStr">
        <is>
          <t>問(4.實在補充)</t>
        </is>
      </c>
      <c r="AX1" s="322" t="inlineStr">
        <is>
          <t>問嫌(2.罪名及權利)</t>
        </is>
      </c>
      <c r="AY1" s="322" t="inlineStr">
        <is>
          <t>問嫌(3.法扶身份)</t>
        </is>
      </c>
      <c r="AZ1" s="322" t="inlineStr">
        <is>
          <t>問嫌(4.提審)</t>
        </is>
      </c>
      <c r="BA1" s="322" t="inlineStr">
        <is>
          <t>問嫌(4.夜間偵訊)</t>
        </is>
      </c>
      <c r="BB1" s="322" t="inlineStr">
        <is>
          <t>問嫌(5.夜間不偵訊)</t>
        </is>
      </c>
      <c r="BC1" s="322" t="inlineStr">
        <is>
          <t>問嫌(6.何事來所)</t>
        </is>
      </c>
      <c r="BD1" s="322" t="inlineStr">
        <is>
          <t>問嫌(7.不實陳述)</t>
        </is>
      </c>
      <c r="BE1" s="322" t="inlineStr">
        <is>
          <t>問嫌(8.推缷)</t>
        </is>
      </c>
      <c r="BF1" s="322" t="inlineStr">
        <is>
          <t>問嫌(9.錄影音)</t>
        </is>
      </c>
      <c r="BG1" s="322" t="inlineStr">
        <is>
          <t>問嫌(10.自由意識)</t>
        </is>
      </c>
      <c r="BH1" s="322" t="inlineStr">
        <is>
          <t>問嫌(11.搜索扣押)</t>
        </is>
      </c>
      <c r="BI1" s="322" t="inlineStr">
        <is>
          <t>問被(3.何事來所)</t>
        </is>
      </c>
      <c r="BJ1" s="322" t="inlineStr">
        <is>
          <t>問被(5.登載)</t>
        </is>
      </c>
      <c r="BK1" s="322" t="inlineStr">
        <is>
          <t>問被(7.指認)</t>
        </is>
      </c>
      <c r="BL1" s="322" t="inlineStr">
        <is>
          <t>問被(8.監視器)</t>
        </is>
      </c>
      <c r="BM1" s="322" t="inlineStr">
        <is>
          <t>問被(14.鑑識)</t>
        </is>
      </c>
      <c r="BN1" s="322" t="inlineStr">
        <is>
          <t>問被(9.提告)</t>
        </is>
      </c>
      <c r="BO1" s="322" t="inlineStr">
        <is>
          <t>問被(10.特徵)</t>
        </is>
      </c>
      <c r="BP1" s="322" t="inlineStr">
        <is>
          <t>問被(11.告訴期)</t>
        </is>
      </c>
      <c r="BQ1" s="322" t="inlineStr">
        <is>
          <t>問被(12.撤回告訴)</t>
        </is>
      </c>
      <c r="BR1" s="322" t="inlineStr">
        <is>
          <t>問被(13.為何撤回)</t>
        </is>
      </c>
      <c r="BS1" s="322" t="inlineStr">
        <is>
          <t>問被(13.和解)</t>
        </is>
      </c>
      <c r="BT1" s="322" t="inlineStr">
        <is>
          <t>問被(14.司法文書)</t>
        </is>
      </c>
      <c r="BU1" s="322" t="inlineStr">
        <is>
          <t>問被(14.第二次筆錄)</t>
        </is>
      </c>
      <c r="BV1" s="322" t="inlineStr">
        <is>
          <t>問被(14.犯嫌交出贓物領回)</t>
        </is>
      </c>
      <c r="BW1" s="322" t="inlineStr">
        <is>
          <t>問被(14.警方找到贓物領回)</t>
        </is>
      </c>
      <c r="BX1" s="322" t="inlineStr">
        <is>
          <t>問證(1.被關係)</t>
        </is>
      </c>
      <c r="BY1" s="322" t="inlineStr">
        <is>
          <t>問證(2.事由)</t>
        </is>
      </c>
      <c r="BZ1" s="322" t="inlineStr">
        <is>
          <t>問證(6.登載)</t>
        </is>
      </c>
      <c r="CA1" s="322" t="inlineStr">
        <is>
          <t>問證(7.推卸)</t>
        </is>
      </c>
      <c r="CB1" s="322" t="inlineStr">
        <is>
          <t>問證(8.何事來所)</t>
        </is>
      </c>
      <c r="CC1" s="322" t="inlineStr">
        <is>
          <t>問證(9.涉關係)</t>
        </is>
      </c>
      <c r="CD1" s="322" t="inlineStr">
        <is>
          <t>問專(1.事由)</t>
        </is>
      </c>
      <c r="CE1" s="322" t="inlineStr">
        <is>
          <t>問專(2.)</t>
        </is>
      </c>
      <c r="CF1" s="322" t="inlineStr">
        <is>
          <t>問專(3.)</t>
        </is>
      </c>
      <c r="CG1" s="322" t="inlineStr">
        <is>
          <t>問專(4.)</t>
        </is>
      </c>
      <c r="CH1" s="322" t="inlineStr">
        <is>
          <t>問專(5.)</t>
        </is>
      </c>
      <c r="CI1" s="322" t="inlineStr">
        <is>
          <t>問專(6.)</t>
        </is>
      </c>
      <c r="CJ1" s="322" t="inlineStr">
        <is>
          <t>問專(7.)</t>
        </is>
      </c>
      <c r="CK1" s="322" t="inlineStr">
        <is>
          <t>問專(8.)</t>
        </is>
      </c>
      <c r="CL1" s="322" t="inlineStr">
        <is>
          <t>問專(9.)</t>
        </is>
      </c>
      <c r="CM1" s="322" t="inlineStr">
        <is>
          <t>問專(10.)</t>
        </is>
      </c>
      <c r="CN1" s="322" t="inlineStr">
        <is>
          <t>問專(11.)</t>
        </is>
      </c>
      <c r="CO1" s="322" t="inlineStr">
        <is>
          <t>問專(12.)</t>
        </is>
      </c>
      <c r="CP1" s="322" t="inlineStr">
        <is>
          <t>問專(13.)</t>
        </is>
      </c>
      <c r="CQ1" s="322" t="inlineStr">
        <is>
          <t>問專(14.)</t>
        </is>
      </c>
      <c r="CR1" s="322" t="inlineStr">
        <is>
          <t>問專(15.)</t>
        </is>
      </c>
      <c r="CS1" s="322" t="inlineStr">
        <is>
          <t>問專(16.)</t>
        </is>
      </c>
      <c r="CT1" s="322" t="inlineStr">
        <is>
          <t>問專(17.)</t>
        </is>
      </c>
      <c r="CU1" s="322" t="inlineStr">
        <is>
          <t>問專(18.)</t>
        </is>
      </c>
      <c r="CV1" s="322" t="inlineStr">
        <is>
          <t>問專(19.)</t>
        </is>
      </c>
      <c r="CW1" s="322" t="inlineStr">
        <is>
          <t>問專(20.)</t>
        </is>
      </c>
      <c r="CX1" s="322" t="inlineStr">
        <is>
          <t>問專(21.)</t>
        </is>
      </c>
      <c r="CY1" s="322" t="inlineStr">
        <is>
          <t>問專(22.)</t>
        </is>
      </c>
      <c r="CZ1" s="322" t="inlineStr">
        <is>
          <t>問專(23.)</t>
        </is>
      </c>
      <c r="DA1" s="323" t="inlineStr">
        <is>
          <t>問專(24.案情)</t>
        </is>
      </c>
      <c r="DB1" s="323" t="inlineStr">
        <is>
          <t>問專(25.二次筆錄答)</t>
        </is>
      </c>
    </row>
    <row r="2" ht="80.25" customFormat="1" customHeight="1" s="1156">
      <c r="A2" s="581">
        <f>CONCATENATE(輸入!$S$18,輸入!$T$18,輸入!$S$19,輸入!$T$19)</f>
        <v/>
      </c>
      <c r="B2" s="581">
        <f>CONCATENATE(輸入!$S$20,輸入!$T$20)</f>
        <v/>
      </c>
      <c r="C2" s="581">
        <f>輸入!$T$21</f>
        <v/>
      </c>
      <c r="D2" s="581">
        <f>輸入!$T$22</f>
        <v/>
      </c>
      <c r="E2" s="581">
        <f>呈報單!$G$15</f>
        <v/>
      </c>
      <c r="F2" s="581">
        <f>IF($S$2=下拉用!$C$2,LEFT(下拉用!$J$5,10),LEFT(下拉用!$J$4,10))</f>
        <v/>
      </c>
      <c r="G2" s="581">
        <f>IF($S$2=下拉用!$C$2,MID(輸入!$C$11,6,2),MID(輸入!$C$10,6,2))</f>
        <v/>
      </c>
      <c r="H2" s="577" t="inlineStr">
        <is>
          <t>顏文祥</t>
        </is>
      </c>
      <c r="I2" s="581">
        <f>UPPER(VLOOKUP(word用!$H$2,個資,2,FALSE))</f>
        <v/>
      </c>
      <c r="J2" s="581">
        <f>VLOOKUP(word用!$H$2,個資,3,FALSE)</f>
        <v/>
      </c>
      <c r="K2" s="581">
        <f>CONCATENATE("0",VLOOKUP(word用!$H$2,個資,4,FALSE))</f>
        <v/>
      </c>
      <c r="L2" s="581">
        <f>VLOOKUP(word用!$H$2,個資,16,FALSE)</f>
        <v/>
      </c>
      <c r="M2" s="581">
        <f>VLOOKUP(word用!$H$2,個資,6,FALSE)</f>
        <v/>
      </c>
      <c r="N2" s="581">
        <f>VLOOKUP(word用!$H$2,個資,7,FALSE)</f>
        <v/>
      </c>
      <c r="O2" s="581">
        <f>VLOOKUP(word用!$H$2,個資,8,FALSE)</f>
        <v/>
      </c>
      <c r="P2" s="581">
        <f>VLOOKUP(word用!$H$2,個資,9,FALSE)</f>
        <v/>
      </c>
      <c r="Q2" s="581">
        <f>VLOOKUP(word用!$H$2,個資,10,FALSE)</f>
        <v/>
      </c>
      <c r="R2" s="581">
        <f>VLOOKUP(word用!$H$2,個資,11,FALSE)</f>
        <v/>
      </c>
      <c r="S2" s="581">
        <f>VLOOKUP(word用!$H$2,個資,12,FALSE)</f>
        <v/>
      </c>
      <c r="T2" s="581">
        <f>VLOOKUP(word用!$H$2,個資,13,FALSE)</f>
        <v/>
      </c>
      <c r="U2" s="581">
        <f>UPPER(輸入!$C$12)</f>
        <v/>
      </c>
      <c r="V2" s="581">
        <f>VLOOKUP(word用!$H$2,個資,14,FALSE)</f>
        <v/>
      </c>
      <c r="W2" s="581">
        <f>LEFT(下拉用!$J$9,10)</f>
        <v/>
      </c>
      <c r="X2" s="581">
        <f>輸入!$H$3</f>
        <v/>
      </c>
      <c r="Y2" s="581">
        <f>輸入!$C$7</f>
        <v/>
      </c>
      <c r="Z2" s="581">
        <f>輸入!$K$3</f>
        <v/>
      </c>
      <c r="AA2" s="581">
        <f>UPPER(輸入!$K$4)</f>
        <v/>
      </c>
      <c r="AB2" s="581">
        <f>下拉用!$J$2</f>
        <v/>
      </c>
      <c r="AC2" s="1324">
        <f>輸入!$H$6</f>
        <v/>
      </c>
      <c r="AD2" s="581">
        <f>輸入!$H$7</f>
        <v/>
      </c>
      <c r="AE2" s="581">
        <f>輸入!$H$8</f>
        <v/>
      </c>
      <c r="AF2" s="581">
        <f>輸入!$H$9</f>
        <v/>
      </c>
      <c r="AG2" s="581">
        <f>輸入!$H$10</f>
        <v/>
      </c>
      <c r="AH2" s="581">
        <f>輸入!$H$11</f>
        <v/>
      </c>
      <c r="AI2" s="581">
        <f>輸入!$H$12</f>
        <v/>
      </c>
      <c r="AJ2" s="581">
        <f>輸入!$H$13</f>
        <v/>
      </c>
      <c r="AK2" s="581">
        <f>UPPER(輸入!$O$3)</f>
        <v/>
      </c>
      <c r="AL2" s="581">
        <f>UPPER(輸入!$O$4)</f>
        <v/>
      </c>
      <c r="AM2" s="581">
        <f>UPPER(輸入!$O$5)</f>
        <v/>
      </c>
      <c r="AN2" s="581">
        <f>UPPER(輸入!$O$6)</f>
        <v/>
      </c>
      <c r="AO2" s="448">
        <f>UPPER(輸入!$O$7)</f>
        <v/>
      </c>
      <c r="AP2" s="581">
        <f>RIGHT(下拉用!$J$6,6)</f>
        <v/>
      </c>
      <c r="AQ2" s="581">
        <f>輸入!$U$24</f>
        <v/>
      </c>
      <c r="AR2" s="581">
        <f>證人筆錄!$A$2</f>
        <v/>
      </c>
      <c r="AS2" s="1160">
        <f>證人筆錄!$A$6</f>
        <v/>
      </c>
      <c r="AT2" s="1160">
        <f>涉嫌人筆錄!$A$13</f>
        <v/>
      </c>
      <c r="AU2" s="1160">
        <f>證人筆錄!$A$3</f>
        <v/>
      </c>
      <c r="AV2" s="1160">
        <f>證人筆錄!$A4</f>
        <v/>
      </c>
      <c r="AW2" s="1160">
        <f>證人筆錄!$A$5</f>
        <v/>
      </c>
      <c r="AX2" s="1160">
        <f>涉嫌人筆錄!$A$2</f>
        <v/>
      </c>
      <c r="AY2" s="1160">
        <f>涉嫌人筆錄!$A$3</f>
        <v/>
      </c>
      <c r="AZ2" s="1160">
        <f>涉嫌人筆錄!$A$4</f>
        <v/>
      </c>
      <c r="BA2" s="1160">
        <f>涉嫌人筆錄!$A$5</f>
        <v/>
      </c>
      <c r="BB2" s="1160">
        <f>涉嫌人筆錄!$A$6</f>
        <v/>
      </c>
      <c r="BC2" s="1160">
        <f>涉嫌人筆錄!$A$7</f>
        <v/>
      </c>
      <c r="BD2" s="1160">
        <f>涉嫌人筆錄!$A$8</f>
        <v/>
      </c>
      <c r="BE2" s="1160">
        <f>涉嫌人筆錄!$A$9</f>
        <v/>
      </c>
      <c r="BF2" s="1160">
        <f>涉嫌人筆錄!$A$10</f>
        <v/>
      </c>
      <c r="BG2" s="1160">
        <f>IF(ISBLANK(輸入!$C$10),涉嫌人筆錄!$A$11,涉嫌人筆錄!$A$12)</f>
        <v/>
      </c>
      <c r="BH2" s="1160">
        <f>涉嫌人筆錄!$A$13</f>
        <v/>
      </c>
      <c r="BI2" s="1160">
        <f>被害人筆錄!$A$2</f>
        <v/>
      </c>
      <c r="BJ2" s="1160">
        <f>被害人筆錄!$A$5</f>
        <v/>
      </c>
      <c r="BK2" s="1160">
        <f>被害人筆錄!$A$4</f>
        <v/>
      </c>
      <c r="BL2" s="1160">
        <f>被害人筆錄!$A$6</f>
        <v/>
      </c>
      <c r="BM2" s="1160">
        <f>被害人筆錄!$A$11</f>
        <v/>
      </c>
      <c r="BN2" s="1160">
        <f>被害人筆錄!$A$8</f>
        <v/>
      </c>
      <c r="BO2" s="1160">
        <f>被害人筆錄!$A$3</f>
        <v/>
      </c>
      <c r="BP2" s="1160">
        <f>被害人筆錄!$A$7</f>
        <v/>
      </c>
      <c r="BQ2" s="1160">
        <f>被害人筆錄!$A$9</f>
        <v/>
      </c>
      <c r="BR2" s="1160">
        <f>被害人筆錄!$A$13</f>
        <v/>
      </c>
      <c r="BS2" s="1160">
        <f>被害人筆錄!$A$10</f>
        <v/>
      </c>
      <c r="BT2" s="1160">
        <f>被害人筆錄!$A$12</f>
        <v/>
      </c>
      <c r="BU2" s="1160">
        <f>被害人筆錄!$A$14</f>
        <v/>
      </c>
      <c r="BV2" s="1160">
        <f>被害人筆錄!$A$15</f>
        <v/>
      </c>
      <c r="BW2" s="1160">
        <f>被害人筆錄!$A$16</f>
        <v/>
      </c>
      <c r="BX2" s="1160">
        <f>證人筆錄!$B$2</f>
        <v/>
      </c>
      <c r="BY2" s="1160">
        <f>證人筆錄!$B$3</f>
        <v/>
      </c>
      <c r="BZ2" s="1160">
        <f>證人筆錄!$B$6</f>
        <v/>
      </c>
      <c r="CA2" s="1160">
        <f>證人筆錄!$B$7</f>
        <v/>
      </c>
      <c r="CB2" s="1160">
        <f>證人筆錄!$B$4</f>
        <v/>
      </c>
      <c r="CC2" s="1160">
        <f>證人筆錄!$B$5</f>
        <v/>
      </c>
      <c r="CD2" s="1160">
        <f>IF(AND(COUNTIF(涉嫌人筆錄,輸入!$C$2)&gt;0,$S$2=下拉用!$C$2),HLOOKUP(輸入!$C$2,涉嫌人筆錄,2,FALSE),HLOOKUP(輸入!$C$2,被害人筆錄,2,FALSE))</f>
        <v/>
      </c>
      <c r="CE2" s="1160">
        <f>IF(AND(COUNTIF(涉嫌人筆錄,輸入!$C$2)&gt;0,$S$2=下拉用!$C$2),HLOOKUP(輸入!$C$2,涉嫌人筆錄,3,FALSE),HLOOKUP(輸入!$C$2,被害人筆錄,3,FALSE))</f>
        <v/>
      </c>
      <c r="CF2" s="1160">
        <f>IF(AND(COUNTIF(涉嫌人筆錄!$1:$1,輸入!$C$2)&gt;0,$S$2=下拉用!$C$2),HLOOKUP(輸入!$C$2,涉嫌人筆錄,4,FALSE),HLOOKUP(輸入!$C$2,被害人筆錄,4,FALSE))</f>
        <v/>
      </c>
      <c r="CG2" s="1160">
        <f>IF(AND(COUNTIF(涉嫌人筆錄!$1:$1,輸入!$C$2)&gt;0,$S$2=下拉用!$C$2),HLOOKUP(輸入!$C$2,涉嫌人筆錄,5,FALSE),HLOOKUP(輸入!$C$2,被害人筆錄,5,FALSE))</f>
        <v/>
      </c>
      <c r="CH2" s="1160">
        <f>IF(AND(COUNTIF(涉嫌人筆錄!$1:$1,輸入!$C$2)&gt;0,$S$2=下拉用!$C$2),HLOOKUP(輸入!$C$2,涉嫌人筆錄,6,FALSE),HLOOKUP(輸入!$C$2,被害人筆錄,6,FALSE))</f>
        <v/>
      </c>
      <c r="CI2" s="1160">
        <f>IF(AND(COUNTIF(涉嫌人筆錄!$1:$1,輸入!$C$2)&gt;0,$S$2=下拉用!$C$2),HLOOKUP(輸入!$C$2,涉嫌人筆錄,7,FALSE),HLOOKUP(輸入!$C$2,被害人筆錄,7,FALSE))</f>
        <v/>
      </c>
      <c r="CJ2" s="1160">
        <f>IF(AND(COUNTIF(涉嫌人筆錄!$1:$1,輸入!$C$2)&gt;0,$S$2=下拉用!$C$2),HLOOKUP(輸入!$C$2,涉嫌人筆錄,8,FALSE),HLOOKUP(輸入!$C$2,被害人筆錄,8,FALSE))</f>
        <v/>
      </c>
      <c r="CK2" s="1160">
        <f>IF(AND(COUNTIF(涉嫌人筆錄!$1:$1,輸入!$C$2)&gt;0,$S$2=下拉用!$C$2),HLOOKUP(輸入!$C$2,涉嫌人筆錄,9,FALSE),HLOOKUP(輸入!$C$2,被害人筆錄,9,FALSE))</f>
        <v/>
      </c>
      <c r="CL2" s="1160">
        <f>IF(AND(COUNTIF(涉嫌人筆錄!$1:$1,輸入!$C$2)&gt;0,$S$2=下拉用!$C$2),HLOOKUP(輸入!$C$2,涉嫌人筆錄,10,FALSE),HLOOKUP(輸入!$C$2,被害人筆錄,10,FALSE))</f>
        <v/>
      </c>
      <c r="CM2" s="1160">
        <f>IF(AND(COUNTIF(涉嫌人筆錄!$1:$1,輸入!$C$2)&gt;0,$S$2=下拉用!$C$2),HLOOKUP(輸入!$C$2,涉嫌人筆錄,11,FALSE),HLOOKUP(輸入!$C$2,被害人筆錄,11,FALSE))</f>
        <v/>
      </c>
      <c r="CN2" s="1160">
        <f>IF(AND(COUNTIF(涉嫌人筆錄!$1:$1,輸入!$C$2)&gt;0,$S$2=下拉用!$C$2),HLOOKUP(輸入!$C$2,涉嫌人筆錄,12,FALSE),HLOOKUP(輸入!$C$2,被害人筆錄,12,FALSE))</f>
        <v/>
      </c>
      <c r="CO2" s="1160">
        <f>IF(AND(COUNTIF(涉嫌人筆錄!$1:$1,輸入!$C$2)&gt;0,$S$2=下拉用!$C$2),HLOOKUP(輸入!$C$2,涉嫌人筆錄,13,FALSE),HLOOKUP(輸入!$C$2,被害人筆錄,13,FALSE))</f>
        <v/>
      </c>
      <c r="CP2" s="1160">
        <f>IF(AND(COUNTIF(涉嫌人筆錄!$1:$1,輸入!$C$2)&gt;0,$S$2=下拉用!$C$2),HLOOKUP(輸入!$C$2,涉嫌人筆錄,14,FALSE),HLOOKUP(輸入!$C$2,被害人筆錄,14,FALSE))</f>
        <v/>
      </c>
      <c r="CQ2" s="1160">
        <f>IF(AND(COUNTIF(涉嫌人筆錄!$1:$1,輸入!$C$2)&gt;0,$S$2=下拉用!$C$2),HLOOKUP(輸入!$C$2,涉嫌人筆錄,15,FALSE),HLOOKUP(輸入!$C$2,被害人筆錄,15,FALSE))</f>
        <v/>
      </c>
      <c r="CR2" s="1160">
        <f>IF(AND(COUNTIF(涉嫌人筆錄!$1:$1,輸入!$C$2)&gt;0,$S$2=下拉用!$C$2),HLOOKUP(輸入!$C$2,涉嫌人筆錄,16,FALSE),HLOOKUP(輸入!$C$2,被害人筆錄,16,FALSE))</f>
        <v/>
      </c>
      <c r="CS2" s="1160">
        <f>IF(AND(COUNTIF(涉嫌人筆錄!$1:$1,輸入!$C$2)&gt;0,$S$2=下拉用!$C$2),HLOOKUP(輸入!$C$2,涉嫌人筆錄,17,FALSE),HLOOKUP(輸入!$C$2,被害人筆錄,17,FALSE))</f>
        <v/>
      </c>
      <c r="CT2" s="1160">
        <f>IF(AND(COUNTIF(涉嫌人筆錄!$1:$1,輸入!$C$2)&gt;0,$S$2=下拉用!$C$2),HLOOKUP(輸入!$C$2,涉嫌人筆錄,18,FALSE),HLOOKUP(輸入!$C$2,被害人筆錄,18,FALSE))</f>
        <v/>
      </c>
      <c r="CU2" s="1160">
        <f>IF(AND(COUNTIF(涉嫌人筆錄!$1:$1,輸入!$C$2)&gt;0,$S$2=下拉用!$C$2),HLOOKUP(輸入!$C$2,涉嫌人筆錄,19,FALSE),HLOOKUP(輸入!$C$2,被害人筆錄,19,FALSE))</f>
        <v/>
      </c>
      <c r="CV2" s="1160">
        <f>IF(AND(COUNTIF(涉嫌人筆錄!$1:$1,輸入!$C$2)&gt;0,$S$2=下拉用!$C$2),HLOOKUP(輸入!$C$2,涉嫌人筆錄,20,FALSE),HLOOKUP(輸入!$C$2,被害人筆錄,20,FALSE))</f>
        <v/>
      </c>
      <c r="CW2" s="1160">
        <f>IF(AND(COUNTIF(涉嫌人筆錄!$1:$1,輸入!$C$2)&gt;0,$S$2=下拉用!$C$2),HLOOKUP(輸入!$C$2,涉嫌人筆錄,21,FALSE),HLOOKUP(輸入!$C$2,被害人筆錄,21,FALSE))</f>
        <v/>
      </c>
      <c r="CX2" s="1160">
        <f>IF(AND(COUNTIF(涉嫌人筆錄!$1:$1,輸入!$C$2)&gt;0,$S$2=下拉用!$C$2),HLOOKUP(輸入!$C$2,涉嫌人筆錄,22,FALSE),HLOOKUP(輸入!$C$2,被害人筆錄,22,FALSE))</f>
        <v/>
      </c>
      <c r="CY2" s="1160">
        <f>IF(AND(COUNTIF(涉嫌人筆錄!$1:$1,輸入!$C$2)&gt;0,$S$2=下拉用!$C$2),HLOOKUP(輸入!$C$2,涉嫌人筆錄,23,FALSE),HLOOKUP(輸入!$C$2,被害人筆錄,23,FALSE))</f>
        <v/>
      </c>
      <c r="CZ2" s="1160">
        <f>IF(AND(COUNTIF(涉嫌人筆錄!$1:$1,輸入!$C$2)&gt;0,$S$2=下拉用!$C$2),HLOOKUP(輸入!$C$2,涉嫌人筆錄,24,FALSE),HLOOKUP(輸入!$C$2,被害人筆錄,24,FALSE))</f>
        <v/>
      </c>
      <c r="DA2" s="1156">
        <f>輸入!$C$5</f>
        <v/>
      </c>
      <c r="DB2" s="1156">
        <f>被害人筆錄!$A$20</f>
        <v/>
      </c>
    </row>
    <row r="3" ht="22.5" customHeight="1" s="683">
      <c r="A3" s="593" t="n"/>
      <c r="B3" s="593" t="n"/>
      <c r="C3" s="593" t="n"/>
      <c r="D3" s="593" t="n"/>
      <c r="F3" s="593" t="n"/>
      <c r="G3" s="323" t="n"/>
      <c r="H3" s="323" t="n"/>
      <c r="I3" s="593" t="n"/>
      <c r="J3" s="593" t="n"/>
      <c r="K3" s="593" t="n"/>
      <c r="L3" s="593" t="n"/>
      <c r="M3" s="593" t="n"/>
      <c r="N3" s="593" t="n"/>
      <c r="O3" s="593" t="n"/>
      <c r="P3" s="593" t="n"/>
      <c r="Q3" s="593" t="n"/>
      <c r="R3" s="593" t="n"/>
      <c r="S3" s="593" t="n"/>
      <c r="T3" s="593" t="n"/>
      <c r="X3" s="593" t="n"/>
      <c r="Y3" s="593" t="n"/>
      <c r="Z3" s="593" t="n"/>
      <c r="AA3" s="593" t="n"/>
      <c r="AB3" s="593" t="n"/>
      <c r="AC3" s="593" t="n"/>
      <c r="AD3" s="593" t="n"/>
      <c r="AE3" s="593" t="n"/>
      <c r="AF3" s="593" t="n"/>
      <c r="AG3" s="593" t="n"/>
      <c r="AH3" s="593" t="n"/>
      <c r="AI3" s="593" t="n"/>
      <c r="AJ3" s="593" t="n"/>
      <c r="AK3" s="593" t="n"/>
      <c r="AL3" s="593" t="n"/>
      <c r="AM3" s="593" t="n"/>
      <c r="AN3" s="593" t="n"/>
      <c r="AO3" s="593" t="n"/>
      <c r="AP3" s="593" t="n"/>
      <c r="AQ3" s="593" t="n"/>
    </row>
    <row r="4" ht="25.5" customHeight="1" s="683">
      <c r="A4" s="593" t="n"/>
      <c r="B4" s="593" t="n"/>
      <c r="C4" s="593" t="n"/>
      <c r="D4" s="593" t="n"/>
      <c r="F4" s="593" t="n"/>
      <c r="G4" s="1156" t="n"/>
      <c r="H4" s="1156" t="n"/>
      <c r="I4" s="593" t="n"/>
      <c r="J4" s="593" t="n"/>
      <c r="K4" s="593" t="n"/>
      <c r="L4" s="593" t="n"/>
      <c r="M4" s="593" t="n"/>
      <c r="N4" s="593" t="n"/>
      <c r="O4" s="593" t="n"/>
      <c r="P4" s="593" t="n"/>
      <c r="Q4" s="593" t="n"/>
      <c r="R4" s="593" t="n"/>
      <c r="S4" s="593" t="n"/>
      <c r="T4" s="593" t="n"/>
      <c r="X4" s="593" t="n"/>
      <c r="Y4" s="593" t="n"/>
      <c r="Z4" s="593" t="n"/>
      <c r="AA4" s="593" t="n"/>
      <c r="AB4" s="593" t="n"/>
      <c r="AC4" s="593" t="n"/>
      <c r="AD4" s="593" t="n"/>
      <c r="AE4" s="593" t="n"/>
      <c r="AF4" s="593" t="n"/>
      <c r="AG4" s="593" t="n"/>
      <c r="AH4" s="593" t="n"/>
      <c r="AI4" s="593" t="n"/>
      <c r="AJ4" s="593" t="n"/>
      <c r="AK4" s="593" t="n"/>
      <c r="AL4" s="593" t="n"/>
      <c r="AM4" s="593" t="n"/>
      <c r="AN4" s="593" t="n"/>
      <c r="AO4" s="593" t="n"/>
      <c r="AP4" s="593" t="n"/>
      <c r="AQ4" s="593" t="n"/>
    </row>
    <row r="5">
      <c r="A5" s="593" t="n"/>
      <c r="B5" s="593" t="n"/>
      <c r="C5" s="593" t="n"/>
      <c r="D5" s="593" t="n"/>
      <c r="E5" s="593" t="n"/>
      <c r="F5" s="593" t="n"/>
      <c r="G5" s="593" t="n"/>
      <c r="H5" s="1325" t="n"/>
      <c r="I5" s="593" t="n"/>
      <c r="J5" s="593" t="n"/>
      <c r="K5" s="593" t="n"/>
      <c r="L5" s="593" t="n"/>
      <c r="M5" s="593" t="n"/>
      <c r="N5" s="593" t="n"/>
      <c r="O5" s="593" t="n"/>
      <c r="P5" s="593" t="n"/>
      <c r="Q5" s="593" t="n"/>
      <c r="R5" s="593" t="n"/>
      <c r="S5" s="593" t="n"/>
      <c r="T5" s="593" t="n"/>
      <c r="U5" s="593" t="n"/>
      <c r="V5" s="593" t="n"/>
      <c r="W5" s="593" t="n"/>
      <c r="X5" s="593" t="n"/>
      <c r="Y5" s="593" t="n"/>
      <c r="Z5" s="593" t="n"/>
      <c r="AA5" s="593" t="n"/>
      <c r="AB5" s="593" t="n"/>
      <c r="AC5" s="593" t="n"/>
      <c r="AD5" s="593" t="n"/>
      <c r="AE5" s="593" t="n"/>
      <c r="AF5" s="593" t="n"/>
      <c r="AG5" s="593" t="n"/>
      <c r="AH5" s="593" t="n"/>
      <c r="AI5" s="593" t="n"/>
      <c r="AJ5" s="593" t="n"/>
      <c r="AK5" s="593" t="n"/>
      <c r="AL5" s="593" t="n"/>
      <c r="AM5" s="593" t="n"/>
      <c r="AN5" s="593" t="n"/>
      <c r="AO5" s="593" t="n"/>
      <c r="AP5" s="593" t="n"/>
      <c r="AQ5" s="593" t="n"/>
    </row>
    <row r="6">
      <c r="A6" s="593" t="n"/>
      <c r="B6" s="593" t="n"/>
      <c r="C6" s="593" t="n"/>
      <c r="D6" s="593" t="n"/>
      <c r="E6" s="593" t="n"/>
      <c r="F6" s="593" t="n"/>
      <c r="G6" s="593" t="n"/>
      <c r="H6" s="1325" t="n"/>
      <c r="I6" s="593" t="n"/>
      <c r="J6" s="593" t="n"/>
      <c r="K6" s="593" t="n"/>
      <c r="L6" s="593" t="n"/>
      <c r="M6" s="593" t="n"/>
      <c r="N6" s="593" t="n"/>
      <c r="O6" s="593" t="n"/>
      <c r="P6" s="593" t="n"/>
      <c r="Q6" s="593" t="n"/>
      <c r="R6" s="593" t="n"/>
      <c r="S6" s="593" t="n"/>
      <c r="T6" s="593" t="n"/>
      <c r="U6" s="593" t="n"/>
      <c r="V6" s="593" t="n"/>
      <c r="W6" s="593" t="n"/>
      <c r="X6" s="593" t="n"/>
      <c r="Y6" s="593" t="n"/>
      <c r="Z6" s="593" t="n"/>
      <c r="AA6" s="593" t="n"/>
      <c r="AB6" s="593" t="n"/>
      <c r="AC6" s="593" t="n"/>
      <c r="AD6" s="593" t="n"/>
      <c r="AE6" s="593" t="n"/>
      <c r="AF6" s="593" t="n"/>
      <c r="AG6" s="593" t="n"/>
      <c r="AH6" s="593" t="n"/>
      <c r="AI6" s="593" t="n"/>
      <c r="AJ6" s="593" t="n"/>
      <c r="AK6" s="593" t="n"/>
      <c r="AL6" s="593" t="n"/>
      <c r="AM6" s="593" t="n"/>
      <c r="AN6" s="593" t="n"/>
      <c r="AO6" s="593" t="n"/>
      <c r="AP6" s="593" t="n"/>
      <c r="AQ6" s="593" t="n"/>
    </row>
    <row r="7">
      <c r="A7" s="593" t="n"/>
      <c r="B7" s="593" t="n"/>
      <c r="C7" s="593" t="n"/>
      <c r="D7" s="593" t="n"/>
      <c r="E7" s="593" t="n"/>
      <c r="G7" s="593" t="n"/>
      <c r="H7" s="593" t="n"/>
      <c r="I7" s="593" t="n"/>
      <c r="J7" s="593" t="n"/>
      <c r="K7" s="593" t="n"/>
      <c r="L7" s="593" t="n"/>
      <c r="M7" s="593" t="n"/>
      <c r="N7" s="593" t="n"/>
      <c r="O7" s="593" t="n"/>
      <c r="P7" s="593" t="n"/>
      <c r="Q7" s="593" t="n"/>
      <c r="R7" s="593" t="n"/>
      <c r="S7" s="593" t="n"/>
      <c r="T7" s="593" t="n"/>
      <c r="U7" s="593" t="n"/>
      <c r="V7" s="593" t="n"/>
      <c r="W7" s="593" t="n"/>
      <c r="X7" s="593" t="n"/>
      <c r="Y7" s="593" t="n"/>
      <c r="Z7" s="593" t="n"/>
      <c r="AA7" s="593" t="n"/>
      <c r="AB7" s="593" t="n"/>
      <c r="AC7" s="593" t="n"/>
      <c r="AD7" s="593" t="n"/>
      <c r="AE7" s="593" t="n"/>
      <c r="AF7" s="593" t="n"/>
      <c r="AG7" s="593" t="n"/>
      <c r="AH7" s="593" t="n"/>
      <c r="AI7" s="593" t="n"/>
      <c r="AJ7" s="593" t="n"/>
      <c r="AK7" s="593" t="n"/>
      <c r="AL7" s="593" t="n"/>
      <c r="AM7" s="593" t="n"/>
      <c r="AN7" s="593" t="n"/>
      <c r="AO7" s="593" t="n"/>
      <c r="AP7" s="593" t="n"/>
      <c r="AQ7" s="593" t="n"/>
    </row>
    <row r="8">
      <c r="A8" s="593" t="n"/>
      <c r="B8" s="593" t="n"/>
      <c r="C8" s="593" t="n"/>
      <c r="D8" s="593" t="n"/>
      <c r="E8" s="593" t="n"/>
      <c r="F8" s="593" t="n"/>
      <c r="G8" s="593" t="n"/>
      <c r="H8" s="593" t="n"/>
      <c r="I8" s="593" t="n"/>
      <c r="J8" s="593" t="n"/>
      <c r="K8" s="593" t="n"/>
      <c r="L8" s="593" t="n"/>
      <c r="M8" s="593" t="n"/>
      <c r="N8" s="593" t="n"/>
      <c r="O8" s="593" t="n"/>
      <c r="P8" s="593" t="n"/>
      <c r="Q8" s="593" t="n"/>
      <c r="R8" s="593" t="n"/>
      <c r="S8" s="593" t="n"/>
      <c r="T8" s="593" t="n"/>
      <c r="U8" s="593" t="n"/>
      <c r="V8" s="593" t="n"/>
      <c r="W8" s="593" t="n"/>
      <c r="X8" s="593" t="n"/>
      <c r="Y8" s="593" t="n"/>
      <c r="Z8" s="593" t="n"/>
      <c r="AA8" s="593" t="n"/>
      <c r="AB8" s="593" t="n"/>
      <c r="AC8" s="593" t="n"/>
      <c r="AD8" s="593" t="n"/>
      <c r="AE8" s="593" t="n"/>
      <c r="AF8" s="593" t="n"/>
      <c r="AG8" s="593" t="n"/>
      <c r="AH8" s="593" t="n"/>
      <c r="AI8" s="593" t="n"/>
      <c r="AJ8" s="593" t="n"/>
      <c r="AK8" s="593" t="n"/>
      <c r="AL8" s="593" t="n"/>
      <c r="AM8" s="593" t="n"/>
      <c r="AN8" s="593" t="n"/>
      <c r="AO8" s="593" t="n"/>
      <c r="AP8" s="593" t="n"/>
      <c r="AQ8" s="593" t="n"/>
    </row>
    <row r="9">
      <c r="A9" s="593" t="n"/>
      <c r="B9" s="593" t="n"/>
      <c r="C9" s="593" t="n"/>
      <c r="D9" s="593" t="n"/>
      <c r="E9" s="593" t="n"/>
      <c r="F9" s="593" t="n"/>
      <c r="G9" s="593" t="n"/>
      <c r="H9" s="593" t="n"/>
      <c r="I9" s="593" t="n"/>
      <c r="J9" s="593" t="n"/>
      <c r="K9" s="593" t="n"/>
      <c r="L9" s="593" t="n"/>
      <c r="M9" s="593" t="n"/>
      <c r="N9" s="593" t="n"/>
      <c r="O9" s="593" t="n"/>
      <c r="P9" s="593" t="n"/>
      <c r="Q9" s="593" t="n"/>
      <c r="R9" s="593" t="n"/>
      <c r="S9" s="593" t="n"/>
      <c r="T9" s="593" t="n"/>
      <c r="U9" s="593" t="n"/>
      <c r="V9" s="593" t="n"/>
      <c r="W9" s="593" t="n"/>
      <c r="X9" s="593" t="n"/>
      <c r="Y9" s="593" t="n"/>
      <c r="Z9" s="593" t="n"/>
      <c r="AA9" s="593" t="n"/>
      <c r="AB9" s="593" t="n"/>
      <c r="AC9" s="593" t="n"/>
      <c r="AD9" s="593" t="n"/>
      <c r="AE9" s="593" t="n"/>
      <c r="AF9" s="593" t="n"/>
      <c r="AG9" s="593" t="n"/>
      <c r="AH9" s="593" t="n"/>
      <c r="AI9" s="593" t="n"/>
      <c r="AJ9" s="593" t="n"/>
      <c r="AK9" s="593" t="n"/>
      <c r="AL9" s="593" t="n"/>
      <c r="AM9" s="593" t="n"/>
      <c r="AN9" s="593" t="n"/>
      <c r="AO9" s="593" t="n"/>
      <c r="AP9" s="593" t="n"/>
      <c r="AQ9" s="593" t="n"/>
    </row>
    <row r="10">
      <c r="A10" s="593" t="n"/>
      <c r="B10" s="593" t="n"/>
      <c r="C10" s="593" t="n"/>
      <c r="D10" s="593" t="n"/>
      <c r="E10" s="593" t="n"/>
      <c r="F10" s="593" t="n"/>
      <c r="G10" s="593" t="n"/>
      <c r="H10" s="593" t="n"/>
      <c r="I10" s="593" t="n"/>
      <c r="J10" s="593" t="n"/>
      <c r="K10" s="593" t="n"/>
      <c r="L10" s="593" t="n"/>
      <c r="M10" s="593" t="n"/>
      <c r="N10" s="593" t="n"/>
      <c r="O10" s="593" t="n"/>
      <c r="P10" s="593" t="n"/>
      <c r="Q10" s="593" t="n"/>
      <c r="R10" s="593" t="n"/>
      <c r="S10" s="593" t="n"/>
      <c r="T10" s="593" t="n"/>
      <c r="U10" s="593" t="n"/>
      <c r="V10" s="593" t="n"/>
      <c r="W10" s="593" t="n"/>
      <c r="X10" s="593" t="n"/>
      <c r="Y10" s="593" t="n"/>
      <c r="Z10" s="593" t="n"/>
      <c r="AA10" s="593" t="n"/>
      <c r="AB10" s="593" t="n"/>
      <c r="AC10" s="593" t="n"/>
      <c r="AD10" s="593" t="n"/>
      <c r="AE10" s="593" t="n"/>
      <c r="AF10" s="593" t="n"/>
      <c r="AG10" s="593" t="n"/>
      <c r="AH10" s="593" t="n"/>
      <c r="AI10" s="593" t="n"/>
      <c r="AJ10" s="593" t="n"/>
      <c r="AK10" s="593" t="n"/>
      <c r="AL10" s="593" t="n"/>
      <c r="AM10" s="593" t="n"/>
      <c r="AN10" s="593" t="n"/>
      <c r="AO10" s="593" t="n"/>
      <c r="AP10" s="593" t="n"/>
      <c r="AQ10" s="593" t="n"/>
    </row>
    <row r="11">
      <c r="A11" s="593" t="n"/>
      <c r="B11" s="593" t="n"/>
      <c r="C11" s="593" t="n"/>
      <c r="D11" s="593" t="n"/>
      <c r="E11" s="593" t="n"/>
      <c r="F11" s="593" t="n"/>
      <c r="G11" s="593" t="n"/>
      <c r="H11" s="593" t="n"/>
      <c r="I11" s="593" t="n"/>
      <c r="J11" s="593" t="n"/>
      <c r="K11" s="593" t="n"/>
      <c r="L11" s="593" t="n"/>
      <c r="M11" s="593" t="n"/>
      <c r="N11" s="593" t="n"/>
      <c r="O11" s="593" t="n"/>
      <c r="P11" s="593" t="n"/>
      <c r="Q11" s="593" t="n"/>
      <c r="R11" s="593" t="n"/>
      <c r="S11" s="593" t="n"/>
      <c r="T11" s="593" t="n"/>
      <c r="U11" s="593" t="n"/>
      <c r="V11" s="593" t="n"/>
      <c r="W11" s="593" t="n"/>
      <c r="X11" s="593" t="n"/>
      <c r="Y11" s="593" t="n"/>
      <c r="Z11" s="593" t="n"/>
      <c r="AA11" s="593" t="n"/>
      <c r="AB11" s="593" t="n"/>
      <c r="AC11" s="593" t="n"/>
      <c r="AD11" s="593" t="n"/>
      <c r="AE11" s="593" t="n"/>
      <c r="AF11" s="593" t="n"/>
      <c r="AG11" s="593" t="n"/>
      <c r="AH11" s="593" t="n"/>
      <c r="AI11" s="593" t="n"/>
      <c r="AJ11" s="593" t="n"/>
      <c r="AK11" s="593" t="n"/>
      <c r="AL11" s="593" t="n"/>
      <c r="AM11" s="593" t="n"/>
      <c r="AN11" s="593" t="n"/>
      <c r="AO11" s="593" t="n"/>
      <c r="AP11" s="593" t="n"/>
      <c r="AQ11" s="593" t="n"/>
    </row>
    <row r="12" ht="18" customHeight="1" s="683">
      <c r="A12" s="593" t="n"/>
      <c r="B12" s="593" t="n"/>
      <c r="C12" s="593" t="n"/>
      <c r="D12" s="593" t="n"/>
      <c r="E12" s="593" t="n"/>
      <c r="F12" s="593" t="n"/>
      <c r="G12" s="593" t="n"/>
      <c r="H12" s="593" t="n"/>
      <c r="I12" s="593" t="n"/>
      <c r="J12" s="593" t="n"/>
      <c r="K12" s="593" t="n"/>
      <c r="L12" s="593" t="n"/>
      <c r="M12" s="593" t="n"/>
      <c r="N12" s="593" t="n"/>
      <c r="O12" s="593" t="n"/>
      <c r="P12" s="593" t="n"/>
      <c r="Q12" s="593" t="n"/>
      <c r="R12" s="593" t="n"/>
      <c r="S12" s="593" t="n"/>
      <c r="T12" s="593" t="n"/>
      <c r="U12" s="593" t="n"/>
      <c r="V12" s="593" t="n"/>
      <c r="W12" s="593" t="n"/>
      <c r="X12" s="593" t="n"/>
      <c r="Y12" s="593" t="n"/>
      <c r="Z12" s="593" t="n"/>
      <c r="AA12" s="593" t="n"/>
      <c r="AB12" s="593" t="n"/>
      <c r="AC12" s="593" t="n"/>
      <c r="AD12" s="593" t="n"/>
      <c r="AE12" s="593" t="n"/>
      <c r="AF12" s="593" t="n"/>
      <c r="AG12" s="593" t="n"/>
      <c r="AH12" s="593" t="n"/>
      <c r="AI12" s="593" t="n"/>
      <c r="AJ12" s="593" t="n"/>
      <c r="AK12" s="593" t="n"/>
      <c r="AL12" s="593" t="n"/>
      <c r="AM12" s="593" t="n"/>
      <c r="AN12" s="593" t="n"/>
      <c r="AO12" s="593" t="n"/>
      <c r="AP12" s="593" t="n"/>
      <c r="AQ12" s="593" t="n"/>
    </row>
    <row r="13">
      <c r="A13" s="593" t="n"/>
      <c r="B13" s="593" t="n"/>
      <c r="C13" s="593" t="n"/>
      <c r="D13" s="593" t="n"/>
      <c r="E13" s="593" t="n"/>
      <c r="F13" s="593" t="n"/>
      <c r="G13" s="593" t="n"/>
      <c r="H13" s="593" t="n"/>
      <c r="I13" s="593" t="n"/>
      <c r="J13" s="593" t="n"/>
      <c r="K13" s="593" t="n"/>
      <c r="L13" s="593" t="n"/>
      <c r="M13" s="593" t="n"/>
      <c r="N13" s="593" t="n"/>
      <c r="O13" s="593" t="n"/>
      <c r="P13" s="593" t="n"/>
      <c r="Q13" s="593" t="n"/>
      <c r="R13" s="593" t="n"/>
      <c r="S13" s="593" t="n"/>
      <c r="T13" s="593" t="n"/>
      <c r="U13" s="593" t="n"/>
      <c r="V13" s="593" t="n"/>
      <c r="W13" s="593" t="n"/>
      <c r="X13" s="593" t="n"/>
      <c r="Y13" s="593" t="n"/>
      <c r="Z13" s="593" t="n"/>
      <c r="AA13" s="593" t="n"/>
      <c r="AB13" s="593" t="n"/>
      <c r="AC13" s="593" t="n"/>
      <c r="AD13" s="593" t="n"/>
      <c r="AE13" s="593" t="n"/>
      <c r="AF13" s="593" t="n"/>
      <c r="AG13" s="593" t="n"/>
      <c r="AH13" s="593" t="n"/>
      <c r="AI13" s="593" t="n"/>
      <c r="AJ13" s="593" t="n"/>
      <c r="AK13" s="593" t="n"/>
      <c r="AL13" s="593" t="n"/>
      <c r="AM13" s="593" t="n"/>
      <c r="AN13" s="593" t="n"/>
      <c r="AO13" s="593" t="n"/>
      <c r="AP13" s="593" t="n"/>
      <c r="AQ13" s="593" t="n"/>
    </row>
    <row r="14">
      <c r="A14" s="593" t="n"/>
      <c r="B14" s="593" t="n"/>
      <c r="C14" s="593" t="n"/>
      <c r="D14" s="593" t="n"/>
      <c r="E14" s="593" t="n"/>
      <c r="F14" s="593" t="n"/>
      <c r="G14" s="593" t="n"/>
      <c r="H14" s="593" t="n"/>
      <c r="I14" s="593" t="n"/>
      <c r="J14" s="593" t="n"/>
      <c r="K14" s="593" t="n"/>
      <c r="L14" s="593" t="n"/>
      <c r="M14" s="593" t="n"/>
      <c r="N14" s="593" t="n"/>
      <c r="O14" s="593" t="n"/>
      <c r="P14" s="593" t="n"/>
      <c r="Q14" s="593" t="n"/>
      <c r="R14" s="593" t="n"/>
      <c r="S14" s="593" t="n"/>
      <c r="T14" s="593" t="n"/>
      <c r="U14" s="593" t="n"/>
      <c r="V14" s="593" t="n"/>
      <c r="W14" s="593" t="n"/>
      <c r="X14" s="593" t="n"/>
      <c r="Y14" s="593" t="n"/>
      <c r="Z14" s="593" t="n"/>
      <c r="AA14" s="593" t="n"/>
      <c r="AB14" s="593" t="n"/>
      <c r="AC14" s="593" t="n"/>
      <c r="AD14" s="593" t="n"/>
      <c r="AE14" s="593" t="n"/>
      <c r="AF14" s="593" t="n"/>
      <c r="AG14" s="593" t="n"/>
      <c r="AH14" s="593" t="n"/>
      <c r="AI14" s="593" t="n"/>
      <c r="AJ14" s="593" t="n"/>
      <c r="AK14" s="593" t="n"/>
      <c r="AL14" s="593" t="n"/>
      <c r="AM14" s="593" t="n"/>
      <c r="AN14" s="593" t="n"/>
      <c r="AO14" s="593" t="n"/>
      <c r="AP14" s="593" t="n"/>
      <c r="AQ14" s="593" t="n"/>
    </row>
    <row r="15">
      <c r="A15" s="593" t="n"/>
      <c r="B15" s="593" t="n"/>
      <c r="C15" s="593" t="n"/>
      <c r="D15" s="593" t="n"/>
      <c r="E15" s="593" t="n"/>
      <c r="F15" s="593" t="n"/>
      <c r="G15" s="593" t="n"/>
      <c r="H15" s="593" t="n"/>
      <c r="I15" s="593" t="n"/>
      <c r="J15" s="593" t="n"/>
      <c r="K15" s="593" t="n"/>
      <c r="L15" s="593" t="n"/>
      <c r="M15" s="593" t="n"/>
      <c r="N15" s="593" t="n"/>
      <c r="O15" s="593" t="n"/>
      <c r="P15" s="593" t="n"/>
      <c r="Q15" s="593" t="n"/>
      <c r="R15" s="593" t="n"/>
      <c r="S15" s="593" t="n"/>
      <c r="T15" s="593" t="n"/>
      <c r="U15" s="593" t="n"/>
      <c r="V15" s="593" t="n"/>
      <c r="W15" s="593" t="n"/>
      <c r="X15" s="593" t="n"/>
      <c r="Y15" s="593" t="n"/>
      <c r="Z15" s="593" t="n"/>
      <c r="AA15" s="593" t="n"/>
      <c r="AB15" s="593" t="n"/>
      <c r="AC15" s="593" t="n"/>
      <c r="AD15" s="593" t="n"/>
      <c r="AE15" s="593" t="n"/>
      <c r="AF15" s="593" t="n"/>
      <c r="AG15" s="593" t="n"/>
      <c r="AH15" s="593" t="n"/>
      <c r="AI15" s="593" t="n"/>
      <c r="AJ15" s="593" t="n"/>
      <c r="AK15" s="593" t="n"/>
      <c r="AL15" s="593" t="n"/>
      <c r="AM15" s="593" t="n"/>
      <c r="AN15" s="593" t="n"/>
      <c r="AO15" s="593" t="n"/>
      <c r="AP15" s="593" t="n"/>
      <c r="AQ15" s="593" t="n"/>
    </row>
    <row r="16">
      <c r="A16" s="593" t="n"/>
      <c r="B16" s="593" t="n"/>
      <c r="C16" s="593" t="n"/>
      <c r="D16" s="593" t="n"/>
      <c r="E16" s="593" t="n"/>
      <c r="F16" s="593" t="n"/>
      <c r="G16" s="593" t="n"/>
      <c r="H16" s="593" t="n"/>
      <c r="I16" s="593" t="n"/>
      <c r="J16" s="593" t="n"/>
      <c r="K16" s="593" t="n"/>
      <c r="L16" s="593" t="n"/>
      <c r="M16" s="593" t="n"/>
      <c r="N16" s="593" t="n"/>
      <c r="O16" s="593" t="n"/>
      <c r="P16" s="593" t="n"/>
      <c r="Q16" s="593" t="n"/>
      <c r="R16" s="593" t="n"/>
      <c r="S16" s="593" t="n"/>
      <c r="T16" s="593" t="n"/>
      <c r="U16" s="593" t="n"/>
      <c r="V16" s="593" t="n"/>
      <c r="W16" s="593" t="n"/>
      <c r="X16" s="593" t="n"/>
      <c r="Y16" s="593" t="n"/>
      <c r="Z16" s="593" t="n"/>
      <c r="AA16" s="593" t="n"/>
      <c r="AB16" s="593" t="n"/>
      <c r="AC16" s="593" t="n"/>
      <c r="AD16" s="593" t="n"/>
      <c r="AE16" s="593" t="n"/>
      <c r="AF16" s="593" t="n"/>
      <c r="AG16" s="593" t="n"/>
      <c r="AH16" s="593" t="n"/>
      <c r="AI16" s="593" t="n"/>
      <c r="AJ16" s="593" t="n"/>
      <c r="AK16" s="593" t="n"/>
      <c r="AL16" s="593" t="n"/>
      <c r="AM16" s="593" t="n"/>
      <c r="AN16" s="593" t="n"/>
      <c r="AO16" s="593" t="n"/>
      <c r="AP16" s="593" t="n"/>
      <c r="AQ16" s="593" t="n"/>
    </row>
    <row r="17">
      <c r="E17" s="593" t="n"/>
      <c r="G17" s="593" t="n"/>
      <c r="H17" s="593" t="n"/>
    </row>
    <row r="18">
      <c r="E18" s="593" t="n"/>
      <c r="G18" s="593" t="n"/>
      <c r="H18" s="593" t="n"/>
    </row>
  </sheetData>
  <pageMargins left="0.7" right="0.7" top="0.75" bottom="0.75" header="0.3" footer="0.3"/>
  <pageSetup orientation="portrait" paperSize="9"/>
</worksheet>
</file>

<file path=xl/worksheets/sheet3.xml><?xml version="1.0" encoding="utf-8"?>
<worksheet xmlns="http://schemas.openxmlformats.org/spreadsheetml/2006/main">
  <sheetPr codeName="工作表8">
    <outlinePr summaryBelow="1" summaryRight="1"/>
    <pageSetUpPr/>
  </sheetPr>
  <dimension ref="A1:AC42"/>
  <sheetViews>
    <sheetView zoomScale="90" zoomScaleNormal="90" workbookViewId="0">
      <selection activeCell="J2" sqref="J2"/>
    </sheetView>
  </sheetViews>
  <sheetFormatPr baseColWidth="8" defaultColWidth="23.125" defaultRowHeight="16.5"/>
  <cols>
    <col width="35.875" customWidth="1" style="601" min="1" max="1"/>
    <col width="46.25" customWidth="1" style="601" min="2" max="2"/>
    <col width="8" customWidth="1" style="601" min="3" max="3"/>
    <col width="9.75" customWidth="1" style="601" min="4" max="4"/>
    <col width="10.5" customWidth="1" style="601" min="5" max="5"/>
    <col width="9.75" customWidth="1" style="601" min="6" max="6"/>
    <col width="8.75" customWidth="1" style="601" min="7" max="7"/>
    <col width="9.625" customWidth="1" style="601" min="8" max="8"/>
    <col width="9.375" customWidth="1" style="601" min="9" max="9"/>
    <col width="23.125" customWidth="1" style="593" min="10" max="10"/>
    <col width="7.5" customWidth="1" style="593" min="11" max="11"/>
    <col width="7.75" customWidth="1" style="593" min="12" max="12"/>
    <col width="7.5" customWidth="1" style="593" min="13" max="13"/>
    <col width="9.75" customWidth="1" style="593" min="14" max="14"/>
    <col width="5" customWidth="1" style="593" min="15" max="15"/>
    <col width="5.625" customWidth="1" style="593" min="16" max="26"/>
    <col width="23.125" customWidth="1" style="593" min="27" max="27"/>
    <col width="5.125" customWidth="1" style="593" min="28" max="28"/>
    <col width="8.375" customWidth="1" style="593" min="29" max="29"/>
    <col width="23.125" customWidth="1" style="593" min="30" max="31"/>
    <col width="23.125" customWidth="1" style="593" min="32" max="16384"/>
  </cols>
  <sheetData>
    <row r="1" ht="39" customFormat="1" customHeight="1" s="913">
      <c r="A1" s="442" t="inlineStr">
        <is>
          <t>指名</t>
        </is>
      </c>
      <c r="B1" s="442" t="inlineStr">
        <is>
          <t>無指名</t>
        </is>
      </c>
      <c r="C1" s="442" t="inlineStr">
        <is>
          <t>關係人</t>
        </is>
      </c>
      <c r="D1" s="442" t="inlineStr">
        <is>
          <t>有無涉嫌人</t>
        </is>
      </c>
      <c r="E1" s="442" t="inlineStr">
        <is>
          <t>性別</t>
        </is>
      </c>
      <c r="F1" s="442" t="inlineStr">
        <is>
          <t>毒品種類</t>
        </is>
      </c>
      <c r="G1" s="601" t="n"/>
      <c r="H1" s="442" t="inlineStr">
        <is>
          <t>刑事相驗</t>
        </is>
      </c>
      <c r="I1" s="442" t="n"/>
    </row>
    <row r="2" ht="76.5" customHeight="1" s="683">
      <c r="A2" s="1156">
        <f>CONCATENATE("一、",輸入!$S$20,"所",輸入!$T$24,輸入!$O$8,"擔服",輸入!$K$2,"勤務，受理民眾",$D$11,"於",$J$4,"在",輸入!$C$7,"所報",輸入!$C$2,"案(",word用!$U$1,"：",word用!$U$2,")，經報案人筆錄中所稱嫌疑人為",$D$10,"，故通知涉嫌人",$E$10,"至所說明，通知嫌疑人製作筆錄。")</f>
        <v/>
      </c>
      <c r="B2" s="601">
        <f>CONCATENATE("一、",輸入!$S$20,"所",輸入!$T$24,輸入!$O$8,"受理民眾",$D$11,"報案，於",$J$4,"在",輸入!$C$7,"稱有",輸入!$C$2,"案件(",word用!$U$1,"：",word用!$U$2,")。警方依規定受理後，調閱店家及公家道路監視器影像，尋線找到嫌疑人",$E$10,"並通知到案說明。")</f>
        <v/>
      </c>
      <c r="C2" s="601" t="inlineStr">
        <is>
          <t>涉嫌人</t>
        </is>
      </c>
      <c r="D2" s="601" t="inlineStr">
        <is>
          <t>指名</t>
        </is>
      </c>
      <c r="E2" s="601" t="inlineStr">
        <is>
          <t>男</t>
        </is>
      </c>
      <c r="F2" s="601" t="inlineStr">
        <is>
          <t>海洛因</t>
        </is>
      </c>
      <c r="H2" s="1156" t="inlineStr">
        <is>
          <t xml:space="preserve">一、	死者上司劉竹超於今（3）日15時48分至死者蘇信宜家（臺北市中山區新生北路三段62巷23號）欲探訪時，在門口處發現屋內傳出屍體腐爛之氣味，遂報警處理。經警方到場由屋主龔書平協助開門後，發現死者於家中死亡多時、身體明顯發黑。
三、	警方於109年06月27日07時18分接獲110通報稱大佳河濱公園保全孫昭仁在上址發現疑似漂浮屍體，經通知消防人員打撈上岸無呼吸心跳明顯死亡，遂通知鑑識人員到場並以隨身證件通知同居家屬蔡竫瑋、血親家屬郭君文到場確認死者身分確為郭君武，並係同居家屬於109年06月25日在寧夏路派出所所報之緊急協尋失蹤人口。
</t>
        </is>
      </c>
      <c r="I2" s="601">
        <f>輸入!$B8</f>
        <v/>
      </c>
      <c r="J2" s="1156">
        <f>CONCATENATE(LEFT(輸入!$C$8,3),"年",MID(輸入!$C$8,4,2),"月",MID(輸入!$C$8,6,2),"日",MID(輸入!$C$8,8,2),"時",RIGHT(輸入!$C$8,2),"分")</f>
        <v/>
      </c>
      <c r="L2" s="593">
        <f>IF(輸入!$M17&lt;&gt;下拉用!$C$2,"",CONCATENATE(輸入!$B17))</f>
        <v/>
      </c>
      <c r="M2" s="593">
        <f>IF(輸入!$M17&lt;&gt;下拉用!$C$2,"",CONCATENATE(輸入!$B17,"(",輸入!$L17,"、",LEFT(輸入!$F17,2),"年次)"))</f>
        <v/>
      </c>
      <c r="N2" s="593">
        <f>IF(輸入!$M17&lt;&gt;下拉用!$C$2,"",CONCATENATE(輸入!$B17,"(",UPPER(輸入!$C17),"、",輸入!$Q17,")"))</f>
        <v/>
      </c>
      <c r="O2" s="592">
        <f>IF(輸入!$M17&lt;&gt;下拉用!$C$3,"",CONCATENATE(輸入!$B17))</f>
        <v/>
      </c>
      <c r="P2" s="592">
        <f>IF(輸入!$M17&lt;&gt;下拉用!$C$3,"",CONCATENATE(輸入!$B17,"(",輸入!$L17,"、",LEFT(輸入!$F17,2),"年次)"))</f>
        <v/>
      </c>
      <c r="Q2" s="36">
        <f>IF(輸入!$M$17&lt;&gt;下拉用!$C$2,"",REPLACE(輸入!$B$17,2,1,"O"))</f>
        <v/>
      </c>
      <c r="R2" s="1326">
        <f>輸入!$T$17-LEFT(輸入!$F17,2)</f>
        <v/>
      </c>
      <c r="S2" s="1326">
        <f>IF(ISEVEN(MID(輸入!$C17,2,1)),"女","男")</f>
        <v/>
      </c>
      <c r="T2" s="36" t="n"/>
      <c r="U2" s="403" t="n"/>
      <c r="V2" s="403" t="n"/>
      <c r="W2" s="592" t="inlineStr">
        <is>
          <t>判斷號</t>
        </is>
      </c>
      <c r="X2" s="36" t="inlineStr">
        <is>
          <t>原選單</t>
        </is>
      </c>
      <c r="Y2" s="404" t="inlineStr">
        <is>
          <t>清單</t>
        </is>
      </c>
      <c r="Z2" s="36" t="inlineStr">
        <is>
          <t>選單</t>
        </is>
      </c>
      <c r="AB2" s="425" t="n"/>
      <c r="AC2" s="425" t="n"/>
    </row>
    <row r="3" ht="76.5" customHeight="1" s="683">
      <c r="A3" s="601">
        <f>IF(ISBLANK(輸入!$C$11),下拉用!$B$4,下拉用!$A$4)</f>
        <v/>
      </c>
      <c r="C3" s="601" t="inlineStr">
        <is>
          <t>被害人</t>
        </is>
      </c>
      <c r="D3" s="601" t="inlineStr">
        <is>
          <t>無指名</t>
        </is>
      </c>
      <c r="E3" s="601" t="inlineStr">
        <is>
          <t>女</t>
        </is>
      </c>
      <c r="F3" s="601" t="inlineStr">
        <is>
          <t>安非他命</t>
        </is>
      </c>
      <c r="H3" s="601" t="inlineStr">
        <is>
          <t>二、	全案通知血親家屬、同居家屬、發現人至所製作筆錄並由鑑識人員採證後，報請刑事相驗。</t>
        </is>
      </c>
      <c r="I3" s="601">
        <f>輸入!$B9</f>
        <v/>
      </c>
      <c r="J3" s="1156">
        <f>CONCATENATE(LEFT(輸入!$C$9,3),"年",MID(輸入!$C$9,4,2),"月",MID(輸入!$C$9,6,2),"日",MID(輸入!$C$9,8,2),"時",RIGHT(輸入!$C$9,2),"分")</f>
        <v/>
      </c>
      <c r="L3" s="593">
        <f>IF(輸入!$M18&lt;&gt;下拉用!$C$2,"",CONCATENATE(輸入!$B18))</f>
        <v/>
      </c>
      <c r="M3" s="593">
        <f>IF(輸入!$M18&lt;&gt;下拉用!$C$2,"",CONCATENATE(輸入!$B18,"(",輸入!$L18,"、",LEFT(輸入!$F18,2),"年次)"))</f>
        <v/>
      </c>
      <c r="N3" s="593">
        <f>IF(輸入!$M18&lt;&gt;下拉用!$C$2,"",CONCATENATE(輸入!$B18,"(",UPPER(輸入!$C18),"、",輸入!$Q18,")"))</f>
        <v/>
      </c>
      <c r="O3" s="592">
        <f>IF(輸入!$M18&lt;&gt;下拉用!$C$3,"",CONCATENATE(輸入!$B18))</f>
        <v/>
      </c>
      <c r="P3" s="592">
        <f>IF(輸入!$M18&lt;&gt;下拉用!$C$3,"",CONCATENATE(輸入!$B18,"(",輸入!$L18,"、",LEFT(輸入!$F18,2),"年次)"))</f>
        <v/>
      </c>
      <c r="Q3" s="36">
        <f>IF(輸入!$M$18&lt;&gt;下拉用!$C$2,"",REPLACE(輸入!$B$18,2,1,"O"))</f>
        <v/>
      </c>
      <c r="R3" s="1326">
        <f>輸入!$T$17-LEFT(輸入!$F18,2)</f>
        <v/>
      </c>
      <c r="S3" s="1326">
        <f>IF(ISEVEN(MID(輸入!$C18,2,1)),"女","男")</f>
        <v/>
      </c>
      <c r="T3" s="36" t="n"/>
      <c r="U3" s="403" t="n"/>
      <c r="V3" s="403">
        <f>IF(COUNTIF(入出所!$B$8:$B$12,X3)&gt;0,"",MAX($W$2:W2)+1)</f>
        <v/>
      </c>
      <c r="W3" s="592">
        <f>IF(COUNTIF('呈報單 多人'!$B$7:$E$41,X3)&gt;0,"",MAX($W$2:W2)+1)</f>
        <v/>
      </c>
      <c r="X3" s="36">
        <f>輸入!B17</f>
        <v/>
      </c>
      <c r="Y3" s="404">
        <f>VLOOKUP(ROW(輸入!A1),W3:X11,2,0)</f>
        <v/>
      </c>
      <c r="Z3" s="36" t="n"/>
      <c r="AB3" s="425" t="n"/>
      <c r="AC3" s="425" t="n"/>
    </row>
    <row r="4" ht="49.5" customHeight="1" s="683">
      <c r="A4" s="601">
        <f>CONCATENATE("二、警方聯繫嫌疑人",$F$10,"，",LEFT(下拉用!$C$10,1),"嫌於",$J$5,"至所說明，",LEFT(下拉用!$C$10,1),"嫌於警詢筆錄中表示",輸入!$C$3,"，其他內容詳如筆錄，全案製作筆錄與相關附件為證。")</f>
        <v/>
      </c>
      <c r="B4" s="601">
        <f>CONCATENATE("二、警方聯繫嫌疑人",$F$10,"於",$J$13,"至所說明，但",LEFT(下拉用!$C$10,1),"嫌於通知日期仍未至所說明，全案提供相關附件為證。")</f>
        <v/>
      </c>
      <c r="C4" s="601" t="inlineStr">
        <is>
          <t>證人</t>
        </is>
      </c>
      <c r="E4" s="601">
        <f>IF(ISBLANK(輸入!$K$3),"",CONCATENATE("駕駛",輸入!$K$3,"(",UPPER(輸入!$K$4),")"))</f>
        <v/>
      </c>
      <c r="F4" s="601" t="inlineStr">
        <is>
          <t>愷他命</t>
        </is>
      </c>
      <c r="I4" s="601">
        <f>輸入!$B10</f>
        <v/>
      </c>
      <c r="J4" s="1156">
        <f>CONCATENATE(LEFT(輸入!$C$10,3),"年",MID(輸入!$C$10,4,2),"月",MID(輸入!$C$10,6,2),"日",MID(輸入!$C$10,8,2),"時",RIGHT(輸入!$C$10,2),"分")</f>
        <v/>
      </c>
      <c r="L4" s="593">
        <f>IF(輸入!$M19&lt;&gt;下拉用!$C$2,"",CONCATENATE(輸入!$B19))</f>
        <v/>
      </c>
      <c r="M4" s="593">
        <f>IF(輸入!$M19&lt;&gt;下拉用!$C$2,"",CONCATENATE(輸入!$B19,"(",輸入!$L19,"、",LEFT(輸入!$F19,2),"年次)"))</f>
        <v/>
      </c>
      <c r="N4" s="593">
        <f>IF(輸入!$M19&lt;&gt;下拉用!$C$2,"",CONCATENATE(輸入!$B19,"(",UPPER(輸入!$C19),"、",輸入!$Q19,")"))</f>
        <v/>
      </c>
      <c r="O4" s="592">
        <f>IF(輸入!$M19&lt;&gt;下拉用!$C$3,"",CONCATENATE(輸入!$B19))</f>
        <v/>
      </c>
      <c r="P4" s="592">
        <f>IF(輸入!$M19&lt;&gt;下拉用!$C$3,"",CONCATENATE(輸入!$B19,"(",輸入!$L19,"、",LEFT(輸入!$F19,2),"年次)"))</f>
        <v/>
      </c>
      <c r="Q4" s="36">
        <f>IF(輸入!$M$19&lt;&gt;下拉用!$C$2,"",REPLACE(輸入!$B$19,2,1,"O"))</f>
        <v/>
      </c>
      <c r="R4" s="1326">
        <f>輸入!$T$17-LEFT(輸入!$F19,2)</f>
        <v/>
      </c>
      <c r="S4" s="1326">
        <f>IF(ISEVEN(MID(輸入!$C19,2,1)),"女","男")</f>
        <v/>
      </c>
      <c r="T4" s="36" t="n"/>
      <c r="U4" s="403" t="n"/>
      <c r="V4" s="403">
        <f>IF(COUNTIF(入出所!$B$8:$B$12,X4)&gt;0,"",MAX($W$2:W3)+1)</f>
        <v/>
      </c>
      <c r="W4" s="592">
        <f>IF(COUNTIF('呈報單 多人'!$B$7:$E$41,X4)&gt;0,"",MAX($W$2:W3)+1)</f>
        <v/>
      </c>
      <c r="X4" s="36">
        <f>輸入!B18</f>
        <v/>
      </c>
      <c r="Y4" s="404">
        <f>VLOOKUP(ROW(輸入!A2),W4:X12,2,0)</f>
        <v/>
      </c>
      <c r="Z4" s="36" t="n"/>
      <c r="AB4" s="425" t="n"/>
      <c r="AC4" s="425" t="n"/>
    </row>
    <row r="5" ht="47.25" customHeight="1" s="683">
      <c r="A5" s="601">
        <f>CONCATENATE("三、依",呈報單!$G$15,"罪嫌，函送  偵查隊  續辦。")</f>
        <v/>
      </c>
      <c r="C5" s="601" t="inlineStr">
        <is>
          <t>關係人</t>
        </is>
      </c>
      <c r="F5" s="601" t="inlineStr">
        <is>
          <t>一粒眠</t>
        </is>
      </c>
      <c r="I5" s="601">
        <f>輸入!$B11</f>
        <v/>
      </c>
      <c r="J5" s="1156">
        <f>CONCATENATE(LEFT(輸入!$C$11,3),"年",MID(輸入!$C$11,4,2),"月",MID(輸入!$C$11,6,2),"日",MID(輸入!$C$11,8,2),"時",RIGHT(輸入!$C$11,2),"分")</f>
        <v/>
      </c>
      <c r="L5" s="593">
        <f>IF(輸入!$M20&lt;&gt;下拉用!$C$2,"",CONCATENATE(輸入!$B20))</f>
        <v/>
      </c>
      <c r="M5" s="593">
        <f>IF(輸入!$M20&lt;&gt;下拉用!$C$2,"",CONCATENATE(輸入!$B20,"(",輸入!$L20,"、",LEFT(輸入!$F20,2),"年次)"))</f>
        <v/>
      </c>
      <c r="N5" s="593">
        <f>IF(輸入!$M20&lt;&gt;下拉用!$C$2,"",CONCATENATE(輸入!$B20,"(",UPPER(輸入!$C20),"、",輸入!$Q20,")"))</f>
        <v/>
      </c>
      <c r="O5" s="592">
        <f>IF(輸入!$M20&lt;&gt;下拉用!$C$3,"",CONCATENATE(輸入!$B20))</f>
        <v/>
      </c>
      <c r="P5" s="592">
        <f>IF(輸入!$M20&lt;&gt;下拉用!$C$3,"",CONCATENATE(輸入!$B20,"(",輸入!$L20,"、",LEFT(輸入!$F20,2),"年次)"))</f>
        <v/>
      </c>
      <c r="Q5" s="36">
        <f>IF(輸入!$M$20&lt;&gt;下拉用!$C$2,"",REPLACE(輸入!$B$20,2,1,"O"))</f>
        <v/>
      </c>
      <c r="R5" s="1326">
        <f>輸入!$T$17-LEFT(輸入!$F20,2)</f>
        <v/>
      </c>
      <c r="S5" s="1326">
        <f>IF(ISEVEN(MID(輸入!$C20,2,1)),"女","男")</f>
        <v/>
      </c>
      <c r="T5" s="36" t="n"/>
      <c r="U5" s="403" t="n"/>
      <c r="V5" s="403">
        <f>IF(COUNTIF(入出所!$B$8:$B$12,X5)&gt;0,"",MAX($W$2:W4)+1)</f>
        <v/>
      </c>
      <c r="W5" s="592">
        <f>IF(COUNTIF('呈報單 多人'!$B$7:$E$41,X5)&gt;0,"",MAX($W$2:W4)+1)</f>
        <v/>
      </c>
      <c r="X5" s="36">
        <f>輸入!B19</f>
        <v/>
      </c>
      <c r="Y5" s="404">
        <f>VLOOKUP(ROW(輸入!A3),W5:X12,2,0)</f>
        <v/>
      </c>
      <c r="Z5" s="36" t="n"/>
      <c r="AB5" s="425" t="n"/>
      <c r="AC5" s="425" t="n"/>
    </row>
    <row r="6" ht="75" customHeight="1" s="683">
      <c r="A6" s="601">
        <f>CONCATENATE("本所為偵辦",$D$11,"所報",呈報單!$G$15,"案(",word用!$U$1,"：",word用!$U$2,")，警方經被害人",$D$11,"筆錄中稱該",word用!$R$2,"子為",word用!$H$2,"(",UPPER(word用!$I$2),"、",word用!$L$2,")","，職試圖與",LEFT(word用!$H$2,1),"民聯絡，但",LEFT(word用!$H$2,1),"民一直不到案說明，為使偵查順遂惠予協助，以利案件之偵辦，煩請偵查隊協助發立通知書，通知關係人",word用!$H$2,"到案說明。")</f>
        <v/>
      </c>
      <c r="B6" s="601">
        <f>CONCATENATE("本所為偵辦",$D$11,"所報",呈報單!$G$15,"案(",word用!$U$1,"：",word用!$U$2,")，警方調閱監視器及比對嫌疑人使用之交通工具後，發現該",word用!$R$2,"子為",word用!$H$2,"(",word用!$I$2,"、",word用!$L$2,")","，職試圖與",LEFT(word用!$H$2,1),"民聯絡，但",LEFT(word用!$H$2,1),"民一直不到案說明，為使偵查順遂惠予協助，以利案件之偵辦，煩請偵查隊協助發立通知書，通知關係人",word用!$H$2,"到案說明。")</f>
        <v/>
      </c>
      <c r="C6" s="601" t="inlineStr">
        <is>
          <t>發現人</t>
        </is>
      </c>
      <c r="J6" s="424">
        <f>CONCATENATE(LEFT(輸入!$H$5,3),"年",MID(輸入!$H$5,4,2),"月",MID(輸入!$H$5,6,2),"日",MID(輸入!$H$5,8,2),"時",RIGHT(輸入!$H$5,2),"分")</f>
        <v/>
      </c>
      <c r="L6" s="593">
        <f>IF(輸入!$M21&lt;&gt;下拉用!$C$2,"",CONCATENATE(輸入!$B21))</f>
        <v/>
      </c>
      <c r="M6" s="593">
        <f>IF(輸入!$M21&lt;&gt;下拉用!$C$2,"",CONCATENATE(輸入!$B21,"(",輸入!$L21,"、",LEFT(輸入!$F21,2),"年次)"))</f>
        <v/>
      </c>
      <c r="N6" s="593">
        <f>IF(輸入!$M21&lt;&gt;下拉用!$C$2,"",CONCATENATE(輸入!$B21,"(",UPPER(輸入!$C21),"、",輸入!$Q21,")"))</f>
        <v/>
      </c>
      <c r="O6" s="592">
        <f>IF(輸入!$M21&lt;&gt;下拉用!$C$3,"",CONCATENATE(輸入!$B21))</f>
        <v/>
      </c>
      <c r="P6" s="592">
        <f>IF(輸入!$M21&lt;&gt;下拉用!$C$3,"",CONCATENATE(輸入!$B21,"(",輸入!$L21,"、",LEFT(輸入!$F21,2),"年次)"))</f>
        <v/>
      </c>
      <c r="Q6" s="36">
        <f>IF(輸入!$M$21&lt;&gt;下拉用!$C$2,"",REPLACE(輸入!$B$21,2,1,"O"))</f>
        <v/>
      </c>
      <c r="R6" s="1326">
        <f>輸入!$T$17-LEFT(輸入!$F21,2)</f>
        <v/>
      </c>
      <c r="S6" s="1326">
        <f>IF(ISEVEN(MID(輸入!$C21,2,1)),"女","男")</f>
        <v/>
      </c>
      <c r="T6" s="36" t="n"/>
      <c r="U6" s="403" t="n"/>
      <c r="V6" s="403">
        <f>IF(COUNTIF(入出所!$B$8:$B$12,X6)&gt;0,"",MAX($W$2:W5)+1)</f>
        <v/>
      </c>
      <c r="W6" s="592">
        <f>IF(COUNTIF('呈報單 多人'!$B$7:$E$41,X6)&gt;0,"",MAX($W$2:W5)+1)</f>
        <v/>
      </c>
      <c r="X6" s="36">
        <f>輸入!B20</f>
        <v/>
      </c>
      <c r="Y6" s="404">
        <f>VLOOKUP(ROW(輸入!A4),W6:X12,2,0)</f>
        <v/>
      </c>
      <c r="Z6" s="36" t="n"/>
      <c r="AB6" s="425" t="n"/>
      <c r="AC6" s="425" t="n"/>
    </row>
    <row r="7" ht="93" customHeight="1" s="683">
      <c r="A7" s="601">
        <f>CONCATENATE(輸入!$S$20,"所",輸入!$T$24,輸入!$O$8,"擔服",輸入!$K$2,"勤務，受理民眾",$D$11,"於",$J$4,"所報",輸入!$C$2,"案(",word用!$U$1,"：",word用!$U$2,")，警方經被害人",$D$11,"筆錄中稱該",word用!$R$2,"子為",$D$10,"，查嫌疑人",$F$10,"涉有重嫌，故通知犯嫌於並",$J$5,"至所說明，犯嫌於筆錄中",輸入!$C$3,"，內容詳如筆錄，全案依",輸入!$C$2,"罪嫌函送臺灣臺北地方檢察署偵辦。")</f>
        <v/>
      </c>
      <c r="B7" s="601">
        <f>CONCATENATE(輸入!$S$20,"所",輸入!$T$24,輸入!$O$8,"擔服",輸入!$K$2,"勤務，受理民眾",$D$11,"於",$J$4,"所報",輸入!$C$2,"案(",word用!$U$1,"：",word用!$U$2,")，循線調閱監視器及比對嫌疑人使用之交通工具，查嫌疑人",$F$10,"涉有重嫌，故通知犯嫌於並",$J$5,"至所說明，犯嫌於筆錄中",輸入!$C$3,"，內容詳如筆錄，全案依",輸入!$C$2,"罪嫌函送臺灣臺北地方檢察署偵辦。")</f>
        <v/>
      </c>
      <c r="C7" s="601" t="inlineStr">
        <is>
          <t>家屬</t>
        </is>
      </c>
      <c r="J7" s="424">
        <f>CONCATENATE(LEFT(輸入!$H$6,3),"年",MID(輸入!$H$6,4,2),"月",MID(輸入!$H$6,6,2),"日",MID(輸入!$H$6,8,2),"時",RIGHT(輸入!$H$6,2),"分")</f>
        <v/>
      </c>
      <c r="L7" s="593">
        <f>IF(輸入!$M22&lt;&gt;下拉用!$C$2,"",CONCATENATE(輸入!$B22))</f>
        <v/>
      </c>
      <c r="M7" s="593">
        <f>IF(輸入!$M22&lt;&gt;下拉用!$C$2,"",CONCATENATE(輸入!$B22,"(",輸入!$L22,"、",LEFT(輸入!$F22,2),"年次)"))</f>
        <v/>
      </c>
      <c r="N7" s="593">
        <f>IF(輸入!$M22&lt;&gt;下拉用!$C$2,"",CONCATENATE(輸入!$B22,"(",UPPER(輸入!$C22),"、",輸入!$Q22,")"))</f>
        <v/>
      </c>
      <c r="O7" s="592">
        <f>IF(輸入!$M22&lt;&gt;下拉用!$C$3,"",CONCATENATE(輸入!$B22))</f>
        <v/>
      </c>
      <c r="P7" s="592">
        <f>IF(輸入!$M22&lt;&gt;下拉用!$C$3,"",CONCATENATE(輸入!$B22,"(",輸入!$L22,"、",LEFT(輸入!$F22,2),"年次)"))</f>
        <v/>
      </c>
      <c r="Q7" s="36">
        <f>IF(輸入!$M$22&lt;&gt;下拉用!$C$2,"",REPLACE(輸入!$B$22,2,1,"O"))</f>
        <v/>
      </c>
      <c r="R7" s="1326">
        <f>輸入!$T$17-LEFT(輸入!$F22,2)</f>
        <v/>
      </c>
      <c r="S7" s="1326">
        <f>IF(ISEVEN(MID(輸入!$C22,2,1)),"女","男")</f>
        <v/>
      </c>
      <c r="T7" s="36" t="n"/>
      <c r="U7" s="403" t="n"/>
      <c r="V7" s="403">
        <f>IF(COUNTIF(入出所!$B$8:$B$12,X7)&gt;0,"",MAX($W$2:W6)+1)</f>
        <v/>
      </c>
      <c r="W7" s="592">
        <f>IF(COUNTIF('呈報單 多人'!$B$7:$E$41,X7)&gt;0,"",MAX($W$2:W6)+1)</f>
        <v/>
      </c>
      <c r="X7" s="36">
        <f>輸入!B21</f>
        <v/>
      </c>
      <c r="Y7" s="404">
        <f>VLOOKUP(ROW(輸入!A5),W7:X12,2,0)</f>
        <v/>
      </c>
      <c r="Z7" s="36" t="n"/>
      <c r="AB7" s="425" t="n"/>
      <c r="AC7" s="425" t="n"/>
    </row>
    <row r="8" ht="40.5" customHeight="1" s="683">
      <c r="A8" s="601">
        <f>CONCATENATE(輸入!$S$20,"所",輸入!$T$24,輸入!$O$8,"擔服",輸入!$K$2,"勤務，受理民眾",$D$11,"於",$J$4,"所報",輸入!$C$2,"案(",word用!$U$1,"：",word用!$U$2,")，筆錄中稱該嫌疑人",$F$10,"涉有重嫌，故通知犯嫌於",$J$13,"至所說明，但犯嫌於通知日期仍未至所說明，故全案依",輸入!$C$2,"罪嫌函送臺灣臺北地方檢察署偵辦。")</f>
        <v/>
      </c>
      <c r="B8" s="601">
        <f>CONCATENATE(輸入!$S$20,"所",輸入!$T$24,輸入!$O$8,"擔服",輸入!$K$2,"勤務，受理民眾",$D$11,"於",$J$4,"所報",輸入!$C$2,"案(",word用!$U$1,"：",word用!$U$2,")，警方循線調閱監視器及比對嫌疑人使用之交通工具，查嫌疑人",$F$10,"涉有重嫌，故通知犯嫌於",$J$13,"至所說明，但犯嫌於通知日期仍未至所說明，故全案依",輸入!$C$2,"罪嫌函送臺灣臺北地方檢察署偵辦。")</f>
        <v/>
      </c>
      <c r="C8" s="601" t="inlineStr">
        <is>
          <t>指認人</t>
        </is>
      </c>
      <c r="J8" s="424">
        <f>CONCATENATE(LEFT(輸入!$C$9,3),"年",MID(輸入!$C$9,4,2),"月",MID(輸入!$C$9,6,2),"日",MID(輸入!$C$9,8,2),"時",RIGHT(輸入!$C$9,2),"分")</f>
        <v/>
      </c>
      <c r="L8" s="593">
        <f>IF(輸入!$M23&lt;&gt;下拉用!$C$2,"",CONCATENATE(輸入!$B23))</f>
        <v/>
      </c>
      <c r="M8" s="593">
        <f>IF(輸入!$M23&lt;&gt;下拉用!$C$2,"",CONCATENATE(輸入!$B23,"(",輸入!$L23,"、",LEFT(輸入!$F23,2),"年次)"))</f>
        <v/>
      </c>
      <c r="N8" s="593">
        <f>IF(輸入!$M23&lt;&gt;下拉用!$C$2,"",CONCATENATE(輸入!$B23,"(",UPPER(輸入!$C23),"、",輸入!$Q23,")"))</f>
        <v/>
      </c>
      <c r="O8" s="592">
        <f>IF(輸入!$M23&lt;&gt;下拉用!$C$3,"",CONCATENATE(輸入!$B23))</f>
        <v/>
      </c>
      <c r="P8" s="592">
        <f>IF(輸入!$M23&lt;&gt;下拉用!$C$3,"",CONCATENATE(輸入!$B23,"(",輸入!$L23,"、",LEFT(輸入!$F23,2),"年次)"))</f>
        <v/>
      </c>
      <c r="Q8" s="36">
        <f>IF(輸入!$M$23&lt;&gt;下拉用!$C$2,"",REPLACE(輸入!$B$23,2,1,"O"))</f>
        <v/>
      </c>
      <c r="R8" s="1326">
        <f>輸入!$T$17-LEFT(輸入!$F23,2)</f>
        <v/>
      </c>
      <c r="S8" s="1326">
        <f>IF(ISEVEN(MID(輸入!$C23,2,1)),"女","男")</f>
        <v/>
      </c>
      <c r="T8" s="36" t="n"/>
      <c r="U8" s="403" t="n"/>
      <c r="V8" s="403">
        <f>IF(COUNTIF(入出所!$B$8:$B$12,X8)&gt;0,"",MAX($W$2:W7)+1)</f>
        <v/>
      </c>
      <c r="W8" s="592">
        <f>IF(COUNTIF('呈報單 多人'!$B$7:$E$41,X8)&gt;0,"",MAX($W$2:W7)+1)</f>
        <v/>
      </c>
      <c r="X8" s="36">
        <f>輸入!B22</f>
        <v/>
      </c>
      <c r="Y8" s="404">
        <f>VLOOKUP(ROW(輸入!A6),W8:X12,2,0)</f>
        <v/>
      </c>
      <c r="Z8" s="36" t="n"/>
      <c r="AB8" s="425" t="n"/>
      <c r="AC8" s="425" t="n"/>
    </row>
    <row r="9" ht="16.5" customHeight="1" s="683">
      <c r="J9" s="424">
        <f>CONCATENATE(LEFT(輸入!$C$10,3),"年",MID(輸入!$C$10,4,2),"月",MID(輸入!$C$10,6,2),"日",MID(輸入!$C$10,8,2),"時",RIGHT(輸入!$C$10,2),"分")</f>
        <v/>
      </c>
      <c r="L9" s="593">
        <f>IF(輸入!$M24&lt;&gt;下拉用!$C$2,"",CONCATENATE(輸入!$B24))</f>
        <v/>
      </c>
      <c r="M9" s="593">
        <f>IF(輸入!$M24&lt;&gt;下拉用!$C$2,"",CONCATENATE(輸入!$B24,"(",輸入!$L24,"、",LEFT(輸入!$F24,2),"年次)"))</f>
        <v/>
      </c>
      <c r="N9" s="593">
        <f>IF(輸入!$M24&lt;&gt;下拉用!$C$2,"",CONCATENATE(輸入!$B24,"(",UPPER(輸入!$C24),"、",輸入!$Q24,")"))</f>
        <v/>
      </c>
      <c r="O9" s="592">
        <f>IF(輸入!$M24&lt;&gt;下拉用!$C$3,"",CONCATENATE(輸入!$B24))</f>
        <v/>
      </c>
      <c r="P9" s="592">
        <f>IF(輸入!$M24&lt;&gt;下拉用!$C$3,"",CONCATENATE(輸入!$B24,"(",輸入!$L24,"、",LEFT(輸入!$F24,2),"年次)"))</f>
        <v/>
      </c>
      <c r="Q9" s="36">
        <f>IF(輸入!$M$24&lt;&gt;下拉用!$C$2,"",REPLACE(輸入!$B$24,2,1,"O"))</f>
        <v/>
      </c>
      <c r="R9" s="1326">
        <f>輸入!$T$17-LEFT(輸入!$F24,2)</f>
        <v/>
      </c>
      <c r="S9" s="1326">
        <f>IF(ISEVEN(MID(輸入!$C24,2,1)),"女","男")</f>
        <v/>
      </c>
      <c r="T9" s="36" t="n"/>
      <c r="U9" s="403" t="n"/>
      <c r="V9" s="403">
        <f>IF(COUNTIF(入出所!$B$8:$B$12,X9)&gt;0,"",MAX($W$2:W8)+1)</f>
        <v/>
      </c>
      <c r="W9" s="592">
        <f>IF(COUNTIF('呈報單 多人'!$B$7:$E$41,X9)&gt;0,"",MAX($W$2:W8)+1)</f>
        <v/>
      </c>
      <c r="X9" s="36">
        <f>輸入!B23</f>
        <v/>
      </c>
      <c r="Y9" s="404">
        <f>VLOOKUP(ROW(輸入!A7),W9:X12,2,0)</f>
        <v/>
      </c>
      <c r="Z9" s="36" t="n"/>
      <c r="AB9" s="425" t="n"/>
      <c r="AC9" s="425" t="n"/>
    </row>
    <row r="10" ht="40.5" customHeight="1" s="683">
      <c r="A10" s="601">
        <f>CONCATENATE(,LEFT($J$5,10),"查獲",呈報單!$G$15,"犯",_xlfn.TEXTJOIN("、",TRUE,下拉用!$Q$2:$Q$11),"，工作辛勞得力")</f>
        <v/>
      </c>
      <c r="C10" s="601">
        <f>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f>
        <v/>
      </c>
      <c r="D10" s="601">
        <f>_xlfn.TEXTJOIN("、",TRUE,下拉用!$L$2:$L$11)</f>
        <v/>
      </c>
      <c r="E10" s="601">
        <f>_xlfn.TEXTJOIN("、",TRUE,下拉用!$M$2:$M$11)</f>
        <v/>
      </c>
      <c r="F10" s="601">
        <f>_xlfn.TEXTJOIN("、",TRUE,下拉用!$N$2:$N$11)</f>
        <v/>
      </c>
      <c r="J10" s="424">
        <f>CONCATENATE("日期：中華民國 ",LEFT(輸入!$C$11,3),"年",MID(輸入!$C$11,4,2),"月",MID(輸入!$C$11,6,2),"日")</f>
        <v/>
      </c>
      <c r="L10" s="593">
        <f>IF(輸入!$M25&lt;&gt;下拉用!$C$2,"",CONCATENATE(輸入!$B25))</f>
        <v/>
      </c>
      <c r="M10" s="593">
        <f>IF(輸入!$M25&lt;&gt;下拉用!$C$2,"",CONCATENATE(輸入!$B25,"(",輸入!$L25,"、",LEFT(輸入!$F25,2),"年次)"))</f>
        <v/>
      </c>
      <c r="N10" s="593">
        <f>IF(輸入!$M25&lt;&gt;下拉用!$C$2,"",CONCATENATE(輸入!$B25,"(",UPPER(輸入!$C25),"、",輸入!$Q25,")"))</f>
        <v/>
      </c>
      <c r="O10" s="592">
        <f>IF(輸入!$M25&lt;&gt;下拉用!$C$3,"",CONCATENATE(輸入!$B25))</f>
        <v/>
      </c>
      <c r="P10" s="592">
        <f>IF(輸入!$M25&lt;&gt;下拉用!$C$3,"",CONCATENATE(輸入!$B25,"(",輸入!$L25,"、",LEFT(輸入!$F25,2),"年次)"))</f>
        <v/>
      </c>
      <c r="Q10" s="36">
        <f>IF(輸入!$M$25&lt;&gt;下拉用!$C$2,"",REPLACE(輸入!$B$25,2,1,"O"))</f>
        <v/>
      </c>
      <c r="R10" s="1326">
        <f>輸入!$T$17-LEFT(輸入!$F25,2)</f>
        <v/>
      </c>
      <c r="S10" s="1326">
        <f>IF(ISEVEN(MID(輸入!$C25,2,1)),"女","男")</f>
        <v/>
      </c>
      <c r="T10" s="36" t="n"/>
      <c r="U10" s="403" t="n"/>
      <c r="V10" s="403">
        <f>IF(COUNTIF(入出所!$B$8:$B$12,X10)&gt;0,"",MAX($W$2:W9)+1)</f>
        <v/>
      </c>
      <c r="W10" s="592">
        <f>IF(COUNTIF('呈報單 多人'!$B$7:$E$41,X10)&gt;0,"",MAX($W$2:W9)+1)</f>
        <v/>
      </c>
      <c r="X10" s="36">
        <f>輸入!B24</f>
        <v/>
      </c>
      <c r="Y10" s="404">
        <f>VLOOKUP(ROW(輸入!A8),W10:X12,2,0)</f>
        <v/>
      </c>
      <c r="Z10" s="36" t="n"/>
      <c r="AB10" s="425" t="n"/>
      <c r="AC10" s="425" t="n"/>
    </row>
    <row r="11" ht="38.25" customHeight="1" s="683">
      <c r="A11" s="601">
        <f>CONCATENATE(,LEFT($J$13,10),"查獲",呈報單!$G$15,"犯",_xlfn.TEXTJOIN("、",TRUE,下拉用!$Q$2:$Q$11),"，工作辛勞得力")</f>
        <v/>
      </c>
      <c r="C11" s="601">
        <f>CONCATENATE(,IF(ISNUMBER(SEARCH("被害人",輸入!$M$17)),輸入!$B$17,
IF(ISNUMBER(SEARCH("被害人",輸入!$M$18)),輸入!$B$18,
IF(ISNUMBER(SEARCH("被害人",輸入!$M$19)),輸入!$B$19,
IF(ISNUMBER(SEARCH("被害人",輸入!$M$20)),輸入!$B$20,
IF(ISNUMBER(SEARCH("被害人",輸入!$M$21)),輸入!$B$21,
IF(ISNUMBER(SEARCH("被害人",輸入!$M$22)),輸入!$B$22,
IF(ISNUMBER(SEARCH("被害人",輸入!$M$23)),輸入!$B$23,
IF(ISNUMBER(SEARCH("被害人",輸入!$M$24)),輸入!$B$24,
IF(ISNUMBER(SEARCH("被害人",輸入!$M$25)),輸入!$B$25,
IF(ISNUMBER(SEARCH("被害人",輸入!$M$26)),輸入!$B$26,"")))))))))))</f>
        <v/>
      </c>
      <c r="D11" s="601">
        <f>_xlfn.TEXTJOIN("、",TRUE,下拉用!$O$2:$O$11)</f>
        <v/>
      </c>
      <c r="E11" s="601">
        <f>_xlfn.TEXTJOIN("、",TRUE,P2:$P$11)</f>
        <v/>
      </c>
      <c r="J11" s="593">
        <f>CONCATENATE("日期：中華民國 ",LEFT(發傳喚通知!$J$7,3),"年",MID(發傳喚通知!$J$7,4,2),"月",MID(發傳喚通知!$J$7,6,2),"日")</f>
        <v/>
      </c>
      <c r="L11" s="593">
        <f>IF(輸入!$M26&lt;&gt;下拉用!$C$2,"",CONCATENATE(輸入!$B26))</f>
        <v/>
      </c>
      <c r="M11" s="593">
        <f>IF(輸入!$M26&lt;&gt;下拉用!$C$2,"",CONCATENATE(輸入!$B26,"(",輸入!$L26,"、",LEFT(輸入!$F26,2),"年次)"))</f>
        <v/>
      </c>
      <c r="N11" s="593">
        <f>IF(輸入!$M26&lt;&gt;下拉用!$C$2,"",CONCATENATE(輸入!$B26,"(",UPPER(輸入!$C26),"、",輸入!$Q26,")"))</f>
        <v/>
      </c>
      <c r="O11" s="592">
        <f>IF(輸入!$M26&lt;&gt;下拉用!$C$3,"",CONCATENATE(輸入!$B26))</f>
        <v/>
      </c>
      <c r="P11" s="592">
        <f>IF(輸入!$M26&lt;&gt;下拉用!$C$3,"",CONCATENATE(輸入!$B26,"(",輸入!$L26,"、",LEFT(輸入!$F26,2),"年次)"))</f>
        <v/>
      </c>
      <c r="Q11" s="36">
        <f>IF(輸入!$M$26&lt;&gt;下拉用!$C$2,"",REPLACE(輸入!$B$26,2,1,"O"))</f>
        <v/>
      </c>
      <c r="R11" s="1326">
        <f>輸入!$T$17-LEFT(輸入!$F26,2)</f>
        <v/>
      </c>
      <c r="S11" s="1326">
        <f>IF(ISEVEN(MID(輸入!$C26,2,1)),"女","男")</f>
        <v/>
      </c>
      <c r="T11" s="36" t="n"/>
      <c r="U11" s="403" t="n"/>
      <c r="V11" s="403">
        <f>IF(COUNTIF(入出所!$B$8:$B$12,X11)&gt;0,"",MAX($W$2:W10)+1)</f>
        <v/>
      </c>
      <c r="W11" s="592">
        <f>IF(COUNTIF('呈報單 多人'!$B$7:$E$41,X11)&gt;0,"",MAX($W$2:W10)+1)</f>
        <v/>
      </c>
      <c r="X11" s="36">
        <f>輸入!B25</f>
        <v/>
      </c>
      <c r="Y11" s="404">
        <f>VLOOKUP(ROW(輸入!A9),W11:X12,2,0)</f>
        <v/>
      </c>
      <c r="Z11" s="36" t="n"/>
      <c r="AB11" s="425" t="n"/>
      <c r="AC11" s="425" t="n"/>
    </row>
    <row r="12" ht="19.5" customHeight="1" s="683">
      <c r="I12" s="51" t="n"/>
      <c r="J12" s="593">
        <f>CONCATENATE(LEFT(輸入!$C$11,3),"年",MID(輸入!$C$11,4,2),"月",MID(輸入!$C$11,6,2),"日",MID(輸入!$C$11,8,2),"時",RIGHT(輸入!$C$11,2),"分")</f>
        <v/>
      </c>
      <c r="K12" s="240" t="n"/>
      <c r="N12" s="593">
        <f>IF(輸入!$M27&lt;&gt;下拉用!$C$2,"",CONCATENATE(輸入!$B27,"(",UPPER(輸入!$C27),"、",輸入!$Q27,")"))</f>
        <v/>
      </c>
      <c r="P12" s="36" t="n"/>
      <c r="Q12" s="36" t="n"/>
      <c r="R12" s="36" t="n"/>
      <c r="S12" s="36" t="n"/>
      <c r="T12" s="36" t="n"/>
      <c r="U12" s="36" t="n"/>
      <c r="V12" s="36" t="n"/>
      <c r="W12" s="592" t="n"/>
      <c r="X12" s="36" t="n"/>
      <c r="Y12" s="36" t="n"/>
      <c r="Z12" s="36" t="n"/>
      <c r="AB12" s="425" t="n"/>
      <c r="AC12" s="425" t="n"/>
    </row>
    <row r="13" ht="91.5" customHeight="1" s="683">
      <c r="I13" s="51" t="n"/>
      <c r="J13" s="51">
        <f>CONCATENATE(LEFT(發傳喚通知!$J$7,3),"年",MID(發傳喚通知!$J$7,4,2),"月",MID(發傳喚通知!$J$7,6,2),"日",MID(發傳喚通知!$J$7,8,2),"時",RIGHT(發傳喚通知!$J$7,2),"分")</f>
        <v/>
      </c>
      <c r="K13" s="240" t="n"/>
      <c r="AB13" s="425" t="n"/>
      <c r="AC13" s="427" t="n"/>
    </row>
    <row r="14" ht="22.5" customHeight="1" s="683">
      <c r="I14" s="51" t="n"/>
      <c r="J14" s="51" t="n"/>
      <c r="K14" s="240" t="n"/>
      <c r="AB14" s="425" t="n"/>
      <c r="AC14" s="425" t="n"/>
    </row>
    <row r="15" ht="16.5" customHeight="1" s="683">
      <c r="I15" s="51" t="n"/>
      <c r="J15" s="51" t="n"/>
      <c r="K15" s="240" t="n"/>
      <c r="AB15" s="425" t="n"/>
      <c r="AC15" s="425" t="n"/>
    </row>
    <row r="16">
      <c r="I16" s="51" t="n"/>
      <c r="J16" s="51" t="n"/>
      <c r="K16" s="240" t="n"/>
      <c r="AB16" s="425" t="n"/>
      <c r="AC16" s="425" t="n"/>
    </row>
    <row r="17">
      <c r="I17" s="51" t="n"/>
      <c r="J17" s="51" t="n"/>
      <c r="K17" s="240" t="n"/>
      <c r="AB17" s="425" t="n"/>
      <c r="AC17" s="425" t="n"/>
    </row>
    <row r="18">
      <c r="I18" s="51" t="n"/>
      <c r="J18" s="51" t="n"/>
      <c r="K18" s="240" t="n"/>
      <c r="AB18" s="425" t="n"/>
      <c r="AC18" s="425" t="n"/>
    </row>
    <row r="19">
      <c r="I19" s="51" t="n"/>
      <c r="J19" s="51" t="n"/>
      <c r="K19" s="240" t="n"/>
      <c r="AB19" s="425" t="n"/>
      <c r="AC19" s="427" t="n"/>
    </row>
    <row r="20" ht="42" customHeight="1" s="683">
      <c r="I20" s="51" t="n"/>
      <c r="J20" s="51" t="n"/>
      <c r="K20" s="240" t="n"/>
      <c r="AB20" s="425" t="n"/>
      <c r="AC20" s="427" t="n"/>
    </row>
    <row r="21" ht="22.5" customHeight="1" s="683">
      <c r="K21" s="453" t="n"/>
      <c r="AB21" s="425" t="n"/>
      <c r="AC21" s="425" t="n"/>
    </row>
    <row r="22">
      <c r="K22" s="453" t="n"/>
      <c r="AB22" s="425" t="n"/>
      <c r="AC22" s="425" t="n"/>
    </row>
    <row r="23">
      <c r="K23" s="453" t="n"/>
      <c r="AB23" s="425" t="n"/>
      <c r="AC23" s="425" t="n"/>
    </row>
    <row r="24">
      <c r="K24" s="453" t="n"/>
      <c r="S24" s="426" t="n"/>
      <c r="T24" s="426" t="n"/>
      <c r="U24" s="426" t="n"/>
      <c r="V24" s="426" t="n"/>
      <c r="AB24" s="425" t="n"/>
      <c r="AC24" s="425" t="n"/>
    </row>
    <row r="25">
      <c r="K25" s="453" t="n"/>
      <c r="R25" s="782" t="n"/>
      <c r="S25" s="782" t="n"/>
      <c r="T25" s="782" t="n"/>
      <c r="U25" s="782" t="n"/>
      <c r="V25" s="782" t="n"/>
      <c r="AB25" s="425" t="n"/>
      <c r="AC25" s="425" t="n"/>
    </row>
    <row r="26">
      <c r="K26" s="453" t="n"/>
      <c r="AB26" s="425" t="n"/>
      <c r="AC26" s="425" t="n"/>
    </row>
    <row r="27">
      <c r="K27" s="453" t="n"/>
      <c r="AB27" s="425" t="n"/>
      <c r="AC27" s="425" t="n"/>
    </row>
    <row r="42">
      <c r="P42" s="425" t="n"/>
      <c r="Q42" s="425" t="n"/>
    </row>
  </sheetData>
  <dataValidations disablePrompts="1" count="1">
    <dataValidation sqref="Y2:Y11" showDropDown="0" showInputMessage="1" showErrorMessage="0" allowBlank="1"/>
  </dataValidations>
  <pageMargins left="0.7" right="0.7" top="0.75" bottom="0.75" header="0.3" footer="0.3"/>
  <pageSetup orientation="portrait" paperSize="9"/>
</worksheet>
</file>

<file path=xl/worksheets/sheet4.xml><?xml version="1.0" encoding="utf-8"?>
<worksheet xmlns="http://schemas.openxmlformats.org/spreadsheetml/2006/main">
  <sheetPr codeName="工作表27">
    <outlinePr summaryBelow="1" summaryRight="1"/>
    <pageSetUpPr/>
  </sheetPr>
  <dimension ref="A1:K25"/>
  <sheetViews>
    <sheetView zoomScale="85" zoomScaleNormal="85" workbookViewId="0">
      <selection activeCell="I12" sqref="I12"/>
    </sheetView>
  </sheetViews>
  <sheetFormatPr baseColWidth="8" defaultRowHeight="16.5"/>
  <cols>
    <col width="25.5" customWidth="1" style="683" min="1" max="1"/>
    <col width="25.375" customWidth="1" style="683" min="2" max="2"/>
    <col width="25.125" customWidth="1" style="683" min="3" max="3"/>
    <col width="29.125" customWidth="1" style="683" min="4" max="4"/>
    <col width="26.875" customWidth="1" style="683" min="5" max="5"/>
    <col width="29.375" customWidth="1" style="683" min="6" max="6"/>
    <col width="22.875" customWidth="1" style="683" min="7" max="7"/>
    <col width="19" customWidth="1" style="683" min="8" max="8"/>
    <col width="20.75" customWidth="1" style="683" min="9" max="9"/>
    <col width="18.375" customWidth="1" style="683" min="10" max="10"/>
    <col width="18.5" customWidth="1" style="683" min="11" max="11"/>
  </cols>
  <sheetData>
    <row r="1" ht="19.5" customHeight="1" s="683">
      <c r="A1" s="593" t="inlineStr">
        <is>
          <t>監視器</t>
        </is>
      </c>
      <c r="B1" s="593" t="inlineStr">
        <is>
          <t>ATM提款機</t>
        </is>
      </c>
      <c r="C1" s="593" t="inlineStr">
        <is>
          <t>信用卡</t>
        </is>
      </c>
      <c r="D1" s="593" t="inlineStr">
        <is>
          <t>電子載具</t>
        </is>
      </c>
      <c r="E1" s="593" t="inlineStr">
        <is>
          <t>悠遊卡</t>
        </is>
      </c>
      <c r="F1" s="593" t="inlineStr">
        <is>
          <t>敬老卡</t>
        </is>
      </c>
      <c r="G1" s="593" t="inlineStr">
        <is>
          <t>Uber</t>
        </is>
      </c>
      <c r="H1" s="593" t="inlineStr">
        <is>
          <t>會員</t>
        </is>
      </c>
      <c r="I1" s="913" t="inlineStr">
        <is>
          <t>公共危險</t>
        </is>
      </c>
      <c r="J1" s="913" t="inlineStr">
        <is>
          <t>通緝</t>
        </is>
      </c>
      <c r="K1" s="913" t="inlineStr">
        <is>
          <t>毒品危害防制條例</t>
        </is>
      </c>
    </row>
    <row r="2" ht="19.5" customHeight="1" s="683">
      <c r="A2" s="593" t="inlineStr">
        <is>
          <t>調閱時段：</t>
        </is>
      </c>
      <c r="B2" s="593" t="inlineStr">
        <is>
          <t>調閱時段：</t>
        </is>
      </c>
      <c r="C2" s="593" t="inlineStr">
        <is>
          <t>刷卡時段：</t>
        </is>
      </c>
      <c r="D2" s="593" t="inlineStr">
        <is>
          <t>消費時段：</t>
        </is>
      </c>
      <c r="E2" s="593" t="inlineStr">
        <is>
          <t>使用時段：</t>
        </is>
      </c>
      <c r="F2" s="593" t="inlineStr">
        <is>
          <t>調閱時段：</t>
        </is>
      </c>
      <c r="G2" s="593" t="inlineStr">
        <is>
          <t>上車時段：</t>
        </is>
      </c>
      <c r="H2" s="593" t="inlineStr">
        <is>
          <t>調閱時段：</t>
        </is>
      </c>
      <c r="I2" s="226" t="inlineStr">
        <is>
          <t>酒測時間</t>
        </is>
      </c>
      <c r="J2" s="226" t="inlineStr">
        <is>
          <t>通緝日期</t>
        </is>
      </c>
      <c r="K2" s="401" t="inlineStr">
        <is>
          <t>鑑驗時間</t>
        </is>
      </c>
    </row>
    <row r="3">
      <c r="A3" s="593" t="inlineStr">
        <is>
          <t>調閱時段止：</t>
        </is>
      </c>
      <c r="G3" s="593" t="inlineStr">
        <is>
          <t>下車時段：</t>
        </is>
      </c>
      <c r="I3" s="593" t="n"/>
      <c r="J3" s="593" t="n"/>
      <c r="K3" s="593" t="n"/>
    </row>
    <row r="4" ht="21" customHeight="1" s="683">
      <c r="A4" s="593" t="inlineStr">
        <is>
          <t>調閱地址：</t>
        </is>
      </c>
      <c r="B4" s="593" t="inlineStr">
        <is>
          <t>調閱地址：</t>
        </is>
      </c>
      <c r="C4" s="593" t="inlineStr">
        <is>
          <t>刷卡地址：</t>
        </is>
      </c>
      <c r="D4" s="593" t="inlineStr">
        <is>
          <t>消費地址：</t>
        </is>
      </c>
      <c r="E4" s="593" t="inlineStr">
        <is>
          <t>使用地址：</t>
        </is>
      </c>
      <c r="F4" s="593" t="inlineStr">
        <is>
          <t>調閱地址：</t>
        </is>
      </c>
      <c r="G4" s="593" t="inlineStr">
        <is>
          <t>上車地址：</t>
        </is>
      </c>
      <c r="H4" s="593" t="inlineStr">
        <is>
          <t>調閱地址：</t>
        </is>
      </c>
      <c r="I4" s="226" t="inlineStr">
        <is>
          <t>酒測值mg/L</t>
        </is>
      </c>
      <c r="J4" s="226" t="inlineStr">
        <is>
          <t>通緝單位</t>
        </is>
      </c>
      <c r="K4" s="226" t="inlineStr">
        <is>
          <t>鑑驗地點：</t>
        </is>
      </c>
    </row>
    <row r="5">
      <c r="A5" s="593" t="inlineStr">
        <is>
          <t>調閱位置：</t>
        </is>
      </c>
      <c r="B5" s="593" t="inlineStr">
        <is>
          <t>銀行</t>
        </is>
      </c>
      <c r="C5" s="593" t="inlineStr">
        <is>
          <t>卡號：</t>
        </is>
      </c>
      <c r="D5" s="593" t="inlineStr">
        <is>
          <t>電子載具：/</t>
        </is>
      </c>
      <c r="E5" s="593" t="inlineStr">
        <is>
          <t>卡號：</t>
        </is>
      </c>
      <c r="F5" s="593" t="inlineStr">
        <is>
          <t>卡號：</t>
        </is>
      </c>
      <c r="G5" s="593" t="inlineStr">
        <is>
          <t>下車地址：</t>
        </is>
      </c>
      <c r="H5" s="593" t="inlineStr">
        <is>
          <t>店家名稱：</t>
        </is>
      </c>
      <c r="I5" s="402" t="inlineStr">
        <is>
          <t>酒後時間</t>
        </is>
      </c>
      <c r="J5" s="226" t="inlineStr">
        <is>
          <t>通緝文號</t>
        </is>
      </c>
      <c r="K5" s="401" t="inlineStr">
        <is>
          <t>種類：</t>
        </is>
      </c>
    </row>
    <row r="6">
      <c r="A6" s="593" t="n"/>
      <c r="B6" s="593" t="inlineStr">
        <is>
          <t>ATM提款機(機號：</t>
        </is>
      </c>
      <c r="C6" s="593" t="inlineStr">
        <is>
          <t>POS機號碼：</t>
        </is>
      </c>
      <c r="D6" s="593" t="inlineStr">
        <is>
          <t>發票號碼：</t>
        </is>
      </c>
      <c r="E6" s="593" t="n"/>
      <c r="F6" s="593" t="n"/>
      <c r="G6" s="593" t="inlineStr">
        <is>
          <t>司機姓名：</t>
        </is>
      </c>
      <c r="H6" s="593" t="inlineStr">
        <is>
          <t>電子載具：/</t>
        </is>
      </c>
      <c r="I6" s="402" t="inlineStr">
        <is>
          <t>是否漱口</t>
        </is>
      </c>
      <c r="J6" s="226" t="inlineStr">
        <is>
          <t>通緝案號</t>
        </is>
      </c>
      <c r="K6" s="401" t="inlineStr">
        <is>
          <t>毛重：</t>
        </is>
      </c>
    </row>
    <row r="7">
      <c r="A7" s="593" t="n"/>
      <c r="B7" s="593" t="n"/>
      <c r="C7" s="593" t="n"/>
      <c r="D7" s="593" t="inlineStr">
        <is>
          <t>消費金額：新臺幣</t>
        </is>
      </c>
      <c r="E7" s="593" t="n"/>
      <c r="F7" s="593" t="n"/>
      <c r="G7" s="593" t="inlineStr">
        <is>
          <t>司機電話：</t>
        </is>
      </c>
      <c r="H7" s="593" t="inlineStr">
        <is>
          <t>會員編號：</t>
        </is>
      </c>
      <c r="I7" s="593" t="n"/>
      <c r="J7" s="593" t="n"/>
      <c r="K7" s="226" t="inlineStr">
        <is>
          <t>淨重：</t>
        </is>
      </c>
    </row>
    <row r="8">
      <c r="A8" s="593" t="n"/>
      <c r="B8" s="593" t="n"/>
      <c r="C8" s="593" t="n"/>
      <c r="D8" s="593" t="n"/>
      <c r="E8" s="593" t="n"/>
      <c r="F8" s="593" t="n"/>
      <c r="G8" s="593" t="inlineStr">
        <is>
          <t>車種：</t>
        </is>
      </c>
      <c r="H8" s="593" t="inlineStr">
        <is>
          <t>消費金額：新臺幣</t>
        </is>
      </c>
      <c r="I8" s="593" t="inlineStr">
        <is>
          <t>車種</t>
        </is>
      </c>
      <c r="J8" s="593" t="n"/>
      <c r="K8" s="401" t="inlineStr">
        <is>
          <t>數量：</t>
        </is>
      </c>
    </row>
    <row r="9">
      <c r="A9" s="593" t="n"/>
      <c r="B9" s="593" t="n"/>
      <c r="C9" s="593" t="n"/>
      <c r="D9" s="593" t="n"/>
      <c r="E9" s="593" t="n"/>
      <c r="F9" s="593" t="n"/>
      <c r="G9" s="593" t="inlineStr">
        <is>
          <t>車號：</t>
        </is>
      </c>
      <c r="H9" s="593" t="n"/>
      <c r="I9" s="593" t="inlineStr">
        <is>
          <t>車牌</t>
        </is>
      </c>
      <c r="J9" s="593" t="n"/>
      <c r="K9" s="593" t="inlineStr">
        <is>
          <t>單位：</t>
        </is>
      </c>
    </row>
    <row r="10">
      <c r="A10" s="593" t="n"/>
      <c r="B10" s="593" t="n"/>
      <c r="C10" s="593" t="n"/>
      <c r="D10" s="593" t="n"/>
      <c r="E10" s="593" t="n"/>
      <c r="F10" s="593" t="n"/>
      <c r="G10" s="593" t="n"/>
      <c r="H10" s="593" t="n"/>
      <c r="I10" s="593" t="n"/>
      <c r="J10" s="593" t="n"/>
      <c r="K10" s="593" t="inlineStr">
        <is>
          <t>搜索位置</t>
        </is>
      </c>
    </row>
    <row r="11" ht="354.75" customHeight="1" s="683">
      <c r="A11" s="600">
        <f>CONCATENATE("因偵辦案件之需要，惠請貴單位協助調閱及備份貴單位之監視器資料，為使偵查順遂，惠予協助提供，以利案件之偵辦，擬報  請協助調閱。")</f>
        <v/>
      </c>
      <c r="B11" s="600">
        <f>CONCATENATE("因偵辦案件循線調閱監視器畫面發現嫌疑人(姓名、年籍不詳)於",$G$24,"，使用位於",輸入!$H$6,"內",輸入!$H$8,$B$5,$B$6,輸入!$H$9,")，為使偵查順遂，惠予協助提供犯嫌使用卡片時的監視器畫面與使用銀行卡片資料，以利案件之偵辦，擬報  請協助調閱。")</f>
        <v/>
      </c>
      <c r="C11" s="600">
        <f>CONCATENATE("因偵辦案件之需要，經被害人提供消費發票並提供詳細消費資訊(",$C$2,$G$24,"，",$C$4,輸入!$H$7,"，使用",$C$1,$C$5,輸入!$H$8,"，",$C$6,輸入!$H$9,")，為使偵查順遂，惠請貴單位予協助提供持卡人個資，以利案件之偵辦，擬報  請協助調閱。")</f>
        <v/>
      </c>
      <c r="D11" s="600">
        <f>CONCATENATE("因偵辦案件之需要，經被害人提供消費發票並提供詳細消費資訊(",$D$2,$G$24,"，",$D$4,輸入!$H$7,"，",$D$5,輸入!$H$8,"，",$D$6,輸入!$H$9,"，",$D$7,輸入!$H$10,"元)，為使偵查順遂，惠請貴單位予協助提供持卡人個資，以利案件之偵辦，擬報  請協助調閱。")</f>
        <v/>
      </c>
      <c r="E11" s="600">
        <f>CONCATENATE("因偵辦案件經循線調閱監視器畫面發現嫌疑人(姓名、年籍不詳)於",$G$24,"，進入",輸入!$H$7,"內，使用",$E$1,$E$5,輸入!$H$8,"，為使偵查順遂，為查明本案犯罪嫌疑人真實姓名年籍，擬報請協助調閱",$E$1,"持卡人個資，以利案件之偵辦，擬報  請協助調閱。")</f>
        <v/>
      </c>
      <c r="F11" s="600">
        <f>CONCATENATE("因偵辦案件經循線調閱監視器畫面發現嫌疑人(姓名、年籍不詳)於",$G$24,"，進入",輸入!$H$7,"內，使用",$F$1,$F$5,輸入!$H$8,")，為使偵查順遂，為查明本案犯罪嫌疑人真實姓名年籍，擬報請協助調閱",$F$1,"持卡人個資，以利案件之偵辦，擬報  請協助調閱。")</f>
        <v/>
      </c>
      <c r="G11" s="600">
        <f>CONCATENATE("因偵辦案件經循線調閱監視器畫面與詢問",輸入!$H$11,"(",UPPER(輸入!$H$12),")計程車司機",輸入!$H$9,"(",輸入!$H$10,")，表示該犯嫌使用",$G$1," APP叫車搭乘並提供行程詳細資訊。",CHAR(10),$G$2,$G$24,,CHAR(10),$G$4,輸入!$H$6,CHAR(10),G$3,$G$25,CHAR(10),$G$5,輸入!$H$8,"")</f>
        <v/>
      </c>
      <c r="H11" s="600">
        <f>CONCATENATE("因偵辦案件之需要，經被害人提供消費發票並提供詳細會員編號(",輸入!$G$7,輸入!$H$7,"，",輸入!$G$7,輸入!$H$7,"，",輸入!$G$8,輸入!$H$8,IF(ISBLANK(輸入!$H$9),"，",$H$24),$H$7,輸入!$H$10,IF(ISBLANK(輸入!$H$11),"",調閱用!$H$25),"，為使偵查順遂，惠請貴單位予協助提供持卡人個資，以利案件之偵辦，擬報  請協助調閱。")</f>
        <v/>
      </c>
      <c r="I11" s="51">
        <f>CONCATENATE(,輸入!S20,"所",輸入!$T$24,輸入!$O$8,"執行",輸入!$K$2,輸入!$J$2,"於",下拉用!$J$5,"許，於",輸入!$C$7,"發現",輸入!$H$11,"(",UPPER(輸入!$H$12),")",輸入!$H$3,"，攔停過程時發現駕駛人",word用!$H$2,"身上有濃厚之酒味，詢問駕駛人",word用!$H$2,"(",word用!$I$2,"、",word用!$L$2,")坦承有飲酒，故對其施以酒精濃度測試(施測時間：",$G$24,")，其酒測值為 ",輸入!$H$7," MG/L， 案經製作筆錄，爰依涉公共危險罪嫌，移請 偵查隊偵辦。")</f>
        <v/>
      </c>
      <c r="J11" s="51">
        <f>CONCATENATE(,輸入!S20,"所",輸入!$T$24,輸入!$O$8,"於",輸入!$K$2,輸入!$J$2,"中，於",下拉用!$J$5,"許發現",LEFT(word用!$H$2,1),"嫌",下拉用!$E$4,輸入!$H$3,"於",輸入!$C$7,"，故警方便向前盤查，發現為通緝單位：",輸入!$H$7,"，通緝日期：",LEFT($G$24,10),"，所發布之通緝犯，姓名：",word用!$H$2,"（",word用!$R$2,"性、",word用!$L$2,"、身份證號：",word用!$I$2,"，通緝文號：",輸入!$H$8,"，通緝案號：",輸入!$H$9,"；案由：",輸入!$H$2,輸入!$C$2,"。依法逮捕歸案，移送偵查隊偵辦。")</f>
        <v/>
      </c>
      <c r="K11" s="405">
        <f>CONCATENATE(,輸入!R15,"所",輸入!$S$19,輸入!$O$8,"執行",輸入!$K$2,"勤務時於",下拉用!$J$5,"在",輸入!$C$7,"許，發現",word用!$H$2,"(",word用!$I$2,"、",word用!$L$2,")",下拉用!$E$4,輸入!$H$3,"，故警方便向前盤查，盤查過程中見",LEFT(word用!$H$2,1),"嫌神色緊張，經",LEFT(word用!$H$2,1),"嫌同意檢視下，於",LEFT(word用!$H$2,1),"嫌的",輸入!$H$13,"發現",word用!$AE$2,輸入!$H$11,輸入!$H$12,"(",調閱用!$K$25,")，並於",IF(ISBLANK(輸入!$H$7),"現場",輸入!$H$7),"以",輸入!$S$11,"所製造之檢驗包檢驗，呈陽性反應，故將",LEFT(word用!$H$2,1),"嫌帶返所偵訊， 案經製作筆錄，爰依涉毒品危害防制條例，移請 偵查隊偵辦。")</f>
        <v/>
      </c>
    </row>
    <row r="12" ht="111.75" customHeight="1" s="683">
      <c r="A12" s="600">
        <f>CONCATENATE($A$2,下拉用!$J$2,"至",下拉用!$J$4,CHAR(10),$A$4,輸入!$H$7,CHAR(10),$A$5,輸入!$H$8)</f>
        <v/>
      </c>
      <c r="B12" s="600">
        <f>CONCATENATE("懇請 貴隊發函，向信用卡公司調閱該人相關個人資料(會員基本資料姓名、身分證字號、連絡電話及地址)、消費資訊及該時段調閱監視器影像檔案，俾利後續偵辦，請協助調閱。")</f>
        <v/>
      </c>
      <c r="C12" s="51">
        <f>CONCATENATE("懇請 貴隊發函，向信用卡公司調閱該人相關個人資料(會員基本資料姓名、身分證字號、連絡電話及地址)、消費資訊及該時段調閱監視器影像檔案，俾利後續偵辦，請協助調閱。")</f>
        <v/>
      </c>
      <c r="D12" s="600">
        <f>CONCATENATE("懇請 貴隊發函，向財政部財政資訊中心調閱該人相關個人資料(會員基本資料姓名、身分證字號、連絡電話及地址)、消費資訊，俾利後續偵辦，請協助調閱。")</f>
        <v/>
      </c>
      <c r="E12" s="600">
        <f>CONCATENATE("懇請 貴隊發函，向",$E$1,"公司調閱該人相關個人資料(會員基本資料姓名、身分證字號、連絡電話及地址)、消費資訊及該時段調閱監視器影像檔案，俾利後續偵辦，請協助調閱。")</f>
        <v/>
      </c>
      <c r="F12" s="600">
        <f>CONCATENATE("懇請 貴隊發函，向",$F$1,"公司調閱該人相關個人資料(會員基本資料姓名、身分證字號、連絡電話及地址)、消費資訊及該時段調閱監視器影像檔案，俾利後續偵辦，請協助調閱。")</f>
        <v/>
      </c>
      <c r="G12" s="600">
        <f>CONCATENATE("懇請 貴隊發函，向",$G$1,"公司調閱該趟行程訂單人相關個人資料(會員基本資料姓名、身分證字號、連絡電話及地址及消費資訊。")</f>
        <v/>
      </c>
      <c r="H12" s="601">
        <f>CONCATENATE("懇請 貴隊發函，向",輸入!$H$8,"調閱該人相關個人資料(會員基本資料姓名、身分證字號、連絡電話及地址)、消費資訊，俾利後續偵辦，請協助調閱。")</f>
        <v/>
      </c>
    </row>
    <row r="13" ht="129.75" customHeight="1" s="683">
      <c r="A13" s="593" t="n"/>
      <c r="B13" s="593" t="n"/>
      <c r="C13" s="51" t="n"/>
      <c r="D13" s="600">
        <f>CONCATENATE("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請協助調閱。",CHAR(10),$D$2,輸入!$H$5,"，",$D$4,輸入!$H$6,"，",$D$5,輸入!$H$7,"，",$D$6,輸入!$H$8,"，",$D$7,輸入!$H$9,"元。")</f>
        <v/>
      </c>
      <c r="F13" s="600" t="inlineStr">
        <is>
          <t>(台北市社會局(地址:台北市信義區市府路1號、電話：0227208889(分機-6967)、傳真電話：無)</t>
        </is>
      </c>
      <c r="G13" s="593" t="n"/>
    </row>
    <row r="14">
      <c r="A14" s="593" t="n"/>
      <c r="B14" s="593" t="n"/>
      <c r="C14" s="51" t="n"/>
      <c r="D14" s="593" t="n"/>
      <c r="E14" s="593" t="n"/>
      <c r="F14" s="593" t="n"/>
      <c r="G14" s="593" t="n"/>
    </row>
    <row r="15">
      <c r="A15" s="593" t="n"/>
      <c r="B15" s="593" t="n"/>
      <c r="C15" s="51" t="n"/>
      <c r="D15" s="593" t="n"/>
      <c r="E15" s="593" t="n"/>
      <c r="F15" s="593" t="n"/>
      <c r="G15" s="593" t="n"/>
    </row>
    <row r="16">
      <c r="A16" s="593" t="n"/>
      <c r="B16" s="593" t="n"/>
      <c r="C16" s="51" t="n"/>
      <c r="D16" s="593" t="n"/>
      <c r="E16" s="593" t="n"/>
      <c r="F16" s="593" t="n"/>
      <c r="G16" s="593" t="n"/>
    </row>
    <row r="17">
      <c r="A17" s="593" t="n"/>
      <c r="B17" s="593" t="n"/>
      <c r="C17" s="51" t="n"/>
      <c r="D17" s="593" t="n"/>
      <c r="E17" s="593" t="n"/>
      <c r="F17" s="593" t="n"/>
      <c r="G17" s="593" t="n"/>
    </row>
    <row r="18">
      <c r="A18" s="593" t="n"/>
      <c r="B18" s="593" t="n"/>
      <c r="C18" s="51" t="n"/>
      <c r="D18" s="593" t="n"/>
      <c r="E18" s="593" t="n"/>
      <c r="F18" s="593" t="n"/>
      <c r="G18" s="593" t="n"/>
    </row>
    <row r="19">
      <c r="A19" s="593" t="n"/>
      <c r="B19" s="593" t="n"/>
      <c r="C19" s="51" t="n"/>
      <c r="D19" s="593" t="n"/>
      <c r="E19" s="593" t="n"/>
      <c r="F19" s="593" t="n"/>
      <c r="G19" s="593" t="n"/>
    </row>
    <row r="20">
      <c r="A20" s="593" t="n"/>
      <c r="B20" s="593" t="n"/>
      <c r="C20" s="51" t="n"/>
      <c r="D20" s="593" t="n"/>
      <c r="E20" s="593" t="n"/>
      <c r="F20" s="593" t="n"/>
      <c r="G20" s="593" t="n"/>
    </row>
    <row r="21">
      <c r="A21" s="593" t="n"/>
      <c r="B21" s="593" t="n"/>
      <c r="C21" s="51" t="n"/>
      <c r="D21" s="593" t="n"/>
      <c r="E21" s="593" t="n"/>
      <c r="F21" s="593" t="n"/>
      <c r="G21" s="593" t="n"/>
    </row>
    <row r="23" ht="19.5" customHeight="1" s="683">
      <c r="K23" s="913">
        <f>CONCATENATE(LEFT(輸入!$C$10,3),"年",MID(輸入!$C$10,4,2),"月")</f>
        <v/>
      </c>
    </row>
    <row r="24">
      <c r="G24" s="782">
        <f>CONCATENATE(LEFT(輸入!$H$5,3),"年",MID(輸入!$H$5,4,2),"月",MID(輸入!$H$5,6,2),"日",MID(輸入!$H$5,8,2),"時",RIGHT(輸入!$H$5,2),"分")</f>
        <v/>
      </c>
      <c r="H24" s="782">
        <f>CONCATENATE("，",輸入!$G$9,輸入!$H$9)</f>
        <v/>
      </c>
      <c r="K24" s="593">
        <f>CONCATENATE(LEFT(輸入!$C$11,3),"年",MID(輸入!$C$11,4,2),"月")</f>
        <v/>
      </c>
    </row>
    <row r="25">
      <c r="G25" s="782">
        <f>CONCATENATE(LEFT(輸入!$H$7,3),"年",MID(輸入!$H$7,4,2),"月",MID(輸入!$H$7,6,2),"日",MID(輸入!$H$7,8,2),"時",RIGHT(輸入!$H$7,2),"分")</f>
        <v/>
      </c>
      <c r="H25" s="782">
        <f>CONCATENATE(,"，",輸入!$G$11,輸入!$H$11,"元")</f>
        <v/>
      </c>
      <c r="K25" s="593">
        <f>CONCATENATE(輸入!$G$9,輸入!$H$9,"、",輸入!$G$10,輸入!$H$10)</f>
        <v/>
      </c>
    </row>
  </sheetData>
  <pageMargins left="0.7" right="0.7" top="0.75" bottom="0.75" header="0.3" footer="0.3"/>
</worksheet>
</file>

<file path=xl/worksheets/sheet5.xml><?xml version="1.0" encoding="utf-8"?>
<worksheet xmlns="http://schemas.openxmlformats.org/spreadsheetml/2006/main">
  <sheetPr codeName="工作表37">
    <tabColor rgb="FF92D050"/>
    <outlinePr summaryBelow="1" summaryRight="1"/>
    <pageSetUpPr/>
  </sheetPr>
  <dimension ref="A1:G6"/>
  <sheetViews>
    <sheetView topLeftCell="E1" workbookViewId="0">
      <selection activeCell="E5" sqref="E5"/>
    </sheetView>
  </sheetViews>
  <sheetFormatPr baseColWidth="8" defaultRowHeight="16.5"/>
  <cols>
    <col width="30" customWidth="1" style="601" min="1" max="1"/>
    <col width="17.75" customWidth="1" style="601" min="2" max="2"/>
    <col width="47.875" customWidth="1" style="601" min="3" max="3"/>
    <col width="9" customWidth="1" style="601" min="4" max="4"/>
    <col width="38.875" customWidth="1" style="601" min="5" max="5"/>
    <col width="35.75" customWidth="1" style="601" min="6" max="6"/>
    <col width="40" customWidth="1" style="601" min="7" max="7"/>
    <col width="9" customWidth="1" style="601" min="8" max="9"/>
    <col width="9" customWidth="1" style="601" min="10" max="16384"/>
  </cols>
  <sheetData>
    <row r="1" ht="57.75" customHeight="1" s="683">
      <c r="A1" s="51" t="inlineStr">
        <is>
          <t>壹、案由部分
一般刑案:
案由請輸入:時間+查獲犯嫌+涉嫌罪名，工作得力(工作辛勞得力) 
查獲通緝犯:
案由請輸入: 時間+查獲罪名通緝犯+嫌犯，工作得力</t>
        </is>
      </c>
      <c r="B1" s="51" t="inlineStr">
        <is>
          <t>貳、移送書文號請務必填寫</t>
        </is>
      </c>
      <c r="C1" s="51" t="inlineStr">
        <is>
          <t>參、陳報內容
請敘述時間，人名(全名含嫌疑人及被害人)、事件</t>
        </is>
      </c>
      <c r="E1" s="601" t="inlineStr">
        <is>
          <t>案摘</t>
        </is>
      </c>
    </row>
    <row r="2" ht="76.5" customHeight="1" s="683">
      <c r="A2" s="601">
        <f>CONCATENATE(,LEFT(下拉用!$J$12,10),"查獲",呈報單!$G$15,"犯",_xlfn.TEXTJOIN("、",TRUE,下拉用!$Q$2:$Q$11),"，工作辛勞得力")</f>
        <v/>
      </c>
      <c r="B2" s="601">
        <f>CONCATENATE(,"北市警信分刑字第",word用!$V$2,"號")</f>
        <v/>
      </c>
      <c r="C2" s="601">
        <f>輸入!$T$8</f>
        <v/>
      </c>
      <c r="E2" s="600">
        <f>CONCATENATE(輸入!$S$20,"所報告
一、受理案由：",呈報單!$G$15,"(受理)
二、發生時間：",下拉用!J2,"
三、發生地點：",輸入!$C$7,"
四、報案時間：",下拉用!J4,"
五、案情摘要：
報案人",下拉用!$E$11,輸入!$C$5,"
六、後續處置：
（一）依規定陳報（證明單號：",word用!$U$2,")
（二）本案管轄：
（三）處理員警：警員 ",輸入!$O$8,"。
七、上傳PDF：已完成；卷宗送批：已完成。")</f>
        <v/>
      </c>
      <c r="F2" s="600">
        <f>CONCATENATE(輸入!$S$20,"所報告
一、受理案由：",呈報單!$G$15,"(破獲)
二、發生時間：",下拉用!J2,"
三、發生地點：",輸入!$C$7,"
四、報案時間：",下拉用!J4,"
五、破獲時間：",下拉用!J5,"
六、案情摘要：
報案人",下拉用!$E$11,輸入!$C$5,"
七、後續處置：
（一）依規定陳報（證明單號：",word用!$U$2,")
（二）警方依規定受理後，調閱店家及公家道路監視器影像，尋線找到嫌疑人並聯繫嫌疑人",下拉用!$F$10,"至所說明，",LEFT(下拉用!$C$10,1),"嫌於警詢筆錄中表示",輸入!$C$3,"，其他內容詳如筆錄，函送偵查隊續辦。
（三）處理員警",輸入!$O$8,"。
八、上傳PDF：已完成；卷宗送批：已完成。")</f>
        <v/>
      </c>
      <c r="G2" s="600">
        <f>CONCATENATE(輸入!$S$20,"所報告
一、查獲案由：",呈報單!$G$15,"(破獲)
二、查獲時間：",MID(輸入!$C$11,4,4),"/",RIGHT(輸入!$C$11,4),"
三、查獲地點：",輸入!$C$7,"
四、案情摘要：
",呈報單!$F$16,"
五、處理員警",輸入!$O$8,"。
六、上傳PDF：已完成；卷宗送批：已完成。")</f>
        <v/>
      </c>
    </row>
    <row r="3" ht="80.25" customHeight="1" s="683">
      <c r="A3" s="601">
        <f>CONCATENATE(,LEFT(下拉用!$J$13,10),"查獲",呈報單!$G$15,"犯",_xlfn.TEXTJOIN("、",TRUE,下拉用!$Q$2:$Q$11),"，工作辛勞得力")</f>
        <v/>
      </c>
      <c r="B3" s="601">
        <f>CONCATENATE(,"北市警信分刑字第",word用!$V$2,"號")</f>
        <v/>
      </c>
      <c r="C3" s="601">
        <f>IF(AND(輸入!$C$11="",輸入!$E$2=下拉用!$D$2),下拉用!$A$8,
IF(AND(輸入!$C$11="",輸入!$E$2=下拉用!$D$3),下拉用!$B$8,
IF(AND(輸入!$C$11&lt;&gt;"",輸入!$E$2=下拉用!$D$2),下拉用!$A$7,
IF(AND(輸入!$C$11&lt;&gt;"",輸入!$E$2=下拉用!$D$3),下拉用!$B$7,""))))</f>
        <v/>
      </c>
    </row>
    <row r="4" ht="258" customHeight="1" s="683"/>
    <row r="5">
      <c r="E5" s="601">
        <f>CONCATENATE(LEFT(輸入!$C$10,7),下拉用!$D$11,"所報",輸入!$C$2,"案(",輸入!$O$8,")")</f>
        <v/>
      </c>
      <c r="G5" s="601">
        <f>CONCATENATE(LEFT(輸入!$C$10,7),下拉用!$D$10,"涉嫌",輸入!$C$2,"案(",輸入!$O$8,")")</f>
        <v/>
      </c>
    </row>
    <row r="6" ht="33" customHeight="1" s="683">
      <c r="E6" s="601">
        <f>CONCATENATE(LEFT(輸入!$C$10,7),下拉用!$D$11,"所報",輸入!$C$2,"案(",word用!$U$2,")")</f>
        <v/>
      </c>
    </row>
  </sheetData>
  <mergeCells count="3">
    <mergeCell ref="F2:F4"/>
    <mergeCell ref="E2:E4"/>
    <mergeCell ref="G2:G4"/>
  </mergeCells>
  <pageMargins left="0.7" right="0.7" top="0.75" bottom="0.75" header="0.3" footer="0.3"/>
</worksheet>
</file>

<file path=xl/worksheets/sheet6.xml><?xml version="1.0" encoding="utf-8"?>
<worksheet xmlns="http://schemas.openxmlformats.org/spreadsheetml/2006/main">
  <sheetPr codeName="工作表49">
    <outlinePr summaryBelow="1" summaryRight="1"/>
    <pageSetUpPr/>
  </sheetPr>
  <dimension ref="B2:AB32"/>
  <sheetViews>
    <sheetView view="pageLayout" topLeftCell="A19" zoomScaleNormal="100" workbookViewId="0">
      <selection activeCell="F21" sqref="F21:AB22"/>
    </sheetView>
  </sheetViews>
  <sheetFormatPr baseColWidth="8" defaultColWidth="3" defaultRowHeight="16.5"/>
  <cols>
    <col width="3" customWidth="1" style="608" min="1" max="2"/>
    <col width="4.625" customWidth="1" style="608" min="3" max="3"/>
    <col width="3.5" customWidth="1" style="608" min="4" max="4"/>
    <col width="3.25" customWidth="1" style="608" min="5" max="5"/>
    <col width="3" customWidth="1" style="608" min="6" max="6"/>
    <col width="2.625" customWidth="1" style="608" min="7" max="7"/>
    <col width="3.75" customWidth="1" style="608" min="8" max="8"/>
    <col width="3" customWidth="1" style="608" min="9" max="14"/>
    <col width="2.625" customWidth="1" style="608" min="15" max="15"/>
    <col width="3" customWidth="1" style="608" min="16" max="17"/>
    <col width="2" customWidth="1" style="608" min="18" max="18"/>
    <col width="2.625" customWidth="1" style="608" min="19" max="19"/>
    <col width="3" customWidth="1" style="608" min="20" max="21"/>
    <col width="2.125" customWidth="1" style="608" min="22" max="22"/>
    <col width="2.5" customWidth="1" style="608" min="23" max="23"/>
    <col width="3" customWidth="1" style="608" min="24" max="26"/>
    <col width="5.375" customWidth="1" style="608" min="27" max="27"/>
    <col width="4.375" customWidth="1" style="608" min="28" max="28"/>
    <col width="3" customWidth="1" style="608" min="29" max="259"/>
    <col width="3.5" customWidth="1" style="608" min="260" max="260"/>
    <col width="3" customWidth="1" style="608" min="261" max="274"/>
    <col width="3.75" customWidth="1" style="608" min="275" max="275"/>
    <col width="3" customWidth="1" style="608" min="276" max="282"/>
    <col width="5.375" customWidth="1" style="608" min="283" max="283"/>
    <col width="4.375" customWidth="1" style="608" min="284" max="284"/>
    <col width="3" customWidth="1" style="608" min="285" max="515"/>
    <col width="3.5" customWidth="1" style="608" min="516" max="516"/>
    <col width="3" customWidth="1" style="608" min="517" max="530"/>
    <col width="3.75" customWidth="1" style="608" min="531" max="531"/>
    <col width="3" customWidth="1" style="608" min="532" max="538"/>
    <col width="5.375" customWidth="1" style="608" min="539" max="539"/>
    <col width="4.375" customWidth="1" style="608" min="540" max="540"/>
    <col width="3" customWidth="1" style="608" min="541" max="771"/>
    <col width="3.5" customWidth="1" style="608" min="772" max="772"/>
    <col width="3" customWidth="1" style="608" min="773" max="786"/>
    <col width="3.75" customWidth="1" style="608" min="787" max="787"/>
    <col width="3" customWidth="1" style="608" min="788" max="794"/>
    <col width="5.375" customWidth="1" style="608" min="795" max="795"/>
    <col width="4.375" customWidth="1" style="608" min="796" max="796"/>
    <col width="3" customWidth="1" style="608" min="797" max="1027"/>
    <col width="3.5" customWidth="1" style="608" min="1028" max="1028"/>
    <col width="3" customWidth="1" style="608" min="1029" max="1042"/>
    <col width="3.75" customWidth="1" style="608" min="1043" max="1043"/>
    <col width="3" customWidth="1" style="608" min="1044" max="1050"/>
    <col width="5.375" customWidth="1" style="608" min="1051" max="1051"/>
    <col width="4.375" customWidth="1" style="608" min="1052" max="1052"/>
    <col width="3" customWidth="1" style="608" min="1053" max="1283"/>
    <col width="3.5" customWidth="1" style="608" min="1284" max="1284"/>
    <col width="3" customWidth="1" style="608" min="1285" max="1298"/>
    <col width="3.75" customWidth="1" style="608" min="1299" max="1299"/>
    <col width="3" customWidth="1" style="608" min="1300" max="1306"/>
    <col width="5.375" customWidth="1" style="608" min="1307" max="1307"/>
    <col width="4.375" customWidth="1" style="608" min="1308" max="1308"/>
    <col width="3" customWidth="1" style="608" min="1309" max="1539"/>
    <col width="3.5" customWidth="1" style="608" min="1540" max="1540"/>
    <col width="3" customWidth="1" style="608" min="1541" max="1554"/>
    <col width="3.75" customWidth="1" style="608" min="1555" max="1555"/>
    <col width="3" customWidth="1" style="608" min="1556" max="1562"/>
    <col width="5.375" customWidth="1" style="608" min="1563" max="1563"/>
    <col width="4.375" customWidth="1" style="608" min="1564" max="1564"/>
    <col width="3" customWidth="1" style="608" min="1565" max="1795"/>
    <col width="3.5" customWidth="1" style="608" min="1796" max="1796"/>
    <col width="3" customWidth="1" style="608" min="1797" max="1810"/>
    <col width="3.75" customWidth="1" style="608" min="1811" max="1811"/>
    <col width="3" customWidth="1" style="608" min="1812" max="1818"/>
    <col width="5.375" customWidth="1" style="608" min="1819" max="1819"/>
    <col width="4.375" customWidth="1" style="608" min="1820" max="1820"/>
    <col width="3" customWidth="1" style="608" min="1821" max="2051"/>
    <col width="3.5" customWidth="1" style="608" min="2052" max="2052"/>
    <col width="3" customWidth="1" style="608" min="2053" max="2066"/>
    <col width="3.75" customWidth="1" style="608" min="2067" max="2067"/>
    <col width="3" customWidth="1" style="608" min="2068" max="2074"/>
    <col width="5.375" customWidth="1" style="608" min="2075" max="2075"/>
    <col width="4.375" customWidth="1" style="608" min="2076" max="2076"/>
    <col width="3" customWidth="1" style="608" min="2077" max="2307"/>
    <col width="3.5" customWidth="1" style="608" min="2308" max="2308"/>
    <col width="3" customWidth="1" style="608" min="2309" max="2322"/>
    <col width="3.75" customWidth="1" style="608" min="2323" max="2323"/>
    <col width="3" customWidth="1" style="608" min="2324" max="2330"/>
    <col width="5.375" customWidth="1" style="608" min="2331" max="2331"/>
    <col width="4.375" customWidth="1" style="608" min="2332" max="2332"/>
    <col width="3" customWidth="1" style="608" min="2333" max="2563"/>
    <col width="3.5" customWidth="1" style="608" min="2564" max="2564"/>
    <col width="3" customWidth="1" style="608" min="2565" max="2578"/>
    <col width="3.75" customWidth="1" style="608" min="2579" max="2579"/>
    <col width="3" customWidth="1" style="608" min="2580" max="2586"/>
    <col width="5.375" customWidth="1" style="608" min="2587" max="2587"/>
    <col width="4.375" customWidth="1" style="608" min="2588" max="2588"/>
    <col width="3" customWidth="1" style="608" min="2589" max="2819"/>
    <col width="3.5" customWidth="1" style="608" min="2820" max="2820"/>
    <col width="3" customWidth="1" style="608" min="2821" max="2834"/>
    <col width="3.75" customWidth="1" style="608" min="2835" max="2835"/>
    <col width="3" customWidth="1" style="608" min="2836" max="2842"/>
    <col width="5.375" customWidth="1" style="608" min="2843" max="2843"/>
    <col width="4.375" customWidth="1" style="608" min="2844" max="2844"/>
    <col width="3" customWidth="1" style="608" min="2845" max="3075"/>
    <col width="3.5" customWidth="1" style="608" min="3076" max="3076"/>
    <col width="3" customWidth="1" style="608" min="3077" max="3090"/>
    <col width="3.75" customWidth="1" style="608" min="3091" max="3091"/>
    <col width="3" customWidth="1" style="608" min="3092" max="3098"/>
    <col width="5.375" customWidth="1" style="608" min="3099" max="3099"/>
    <col width="4.375" customWidth="1" style="608" min="3100" max="3100"/>
    <col width="3" customWidth="1" style="608" min="3101" max="3331"/>
    <col width="3.5" customWidth="1" style="608" min="3332" max="3332"/>
    <col width="3" customWidth="1" style="608" min="3333" max="3346"/>
    <col width="3.75" customWidth="1" style="608" min="3347" max="3347"/>
    <col width="3" customWidth="1" style="608" min="3348" max="3354"/>
    <col width="5.375" customWidth="1" style="608" min="3355" max="3355"/>
    <col width="4.375" customWidth="1" style="608" min="3356" max="3356"/>
    <col width="3" customWidth="1" style="608" min="3357" max="3587"/>
    <col width="3.5" customWidth="1" style="608" min="3588" max="3588"/>
    <col width="3" customWidth="1" style="608" min="3589" max="3602"/>
    <col width="3.75" customWidth="1" style="608" min="3603" max="3603"/>
    <col width="3" customWidth="1" style="608" min="3604" max="3610"/>
    <col width="5.375" customWidth="1" style="608" min="3611" max="3611"/>
    <col width="4.375" customWidth="1" style="608" min="3612" max="3612"/>
    <col width="3" customWidth="1" style="608" min="3613" max="3843"/>
    <col width="3.5" customWidth="1" style="608" min="3844" max="3844"/>
    <col width="3" customWidth="1" style="608" min="3845" max="3858"/>
    <col width="3.75" customWidth="1" style="608" min="3859" max="3859"/>
    <col width="3" customWidth="1" style="608" min="3860" max="3866"/>
    <col width="5.375" customWidth="1" style="608" min="3867" max="3867"/>
    <col width="4.375" customWidth="1" style="608" min="3868" max="3868"/>
    <col width="3" customWidth="1" style="608" min="3869" max="4099"/>
    <col width="3.5" customWidth="1" style="608" min="4100" max="4100"/>
    <col width="3" customWidth="1" style="608" min="4101" max="4114"/>
    <col width="3.75" customWidth="1" style="608" min="4115" max="4115"/>
    <col width="3" customWidth="1" style="608" min="4116" max="4122"/>
    <col width="5.375" customWidth="1" style="608" min="4123" max="4123"/>
    <col width="4.375" customWidth="1" style="608" min="4124" max="4124"/>
    <col width="3" customWidth="1" style="608" min="4125" max="4355"/>
    <col width="3.5" customWidth="1" style="608" min="4356" max="4356"/>
    <col width="3" customWidth="1" style="608" min="4357" max="4370"/>
    <col width="3.75" customWidth="1" style="608" min="4371" max="4371"/>
    <col width="3" customWidth="1" style="608" min="4372" max="4378"/>
    <col width="5.375" customWidth="1" style="608" min="4379" max="4379"/>
    <col width="4.375" customWidth="1" style="608" min="4380" max="4380"/>
    <col width="3" customWidth="1" style="608" min="4381" max="4611"/>
    <col width="3.5" customWidth="1" style="608" min="4612" max="4612"/>
    <col width="3" customWidth="1" style="608" min="4613" max="4626"/>
    <col width="3.75" customWidth="1" style="608" min="4627" max="4627"/>
    <col width="3" customWidth="1" style="608" min="4628" max="4634"/>
    <col width="5.375" customWidth="1" style="608" min="4635" max="4635"/>
    <col width="4.375" customWidth="1" style="608" min="4636" max="4636"/>
    <col width="3" customWidth="1" style="608" min="4637" max="4867"/>
    <col width="3.5" customWidth="1" style="608" min="4868" max="4868"/>
    <col width="3" customWidth="1" style="608" min="4869" max="4882"/>
    <col width="3.75" customWidth="1" style="608" min="4883" max="4883"/>
    <col width="3" customWidth="1" style="608" min="4884" max="4890"/>
    <col width="5.375" customWidth="1" style="608" min="4891" max="4891"/>
    <col width="4.375" customWidth="1" style="608" min="4892" max="4892"/>
    <col width="3" customWidth="1" style="608" min="4893" max="5123"/>
    <col width="3.5" customWidth="1" style="608" min="5124" max="5124"/>
    <col width="3" customWidth="1" style="608" min="5125" max="5138"/>
    <col width="3.75" customWidth="1" style="608" min="5139" max="5139"/>
    <col width="3" customWidth="1" style="608" min="5140" max="5146"/>
    <col width="5.375" customWidth="1" style="608" min="5147" max="5147"/>
    <col width="4.375" customWidth="1" style="608" min="5148" max="5148"/>
    <col width="3" customWidth="1" style="608" min="5149" max="5379"/>
    <col width="3.5" customWidth="1" style="608" min="5380" max="5380"/>
    <col width="3" customWidth="1" style="608" min="5381" max="5394"/>
    <col width="3.75" customWidth="1" style="608" min="5395" max="5395"/>
    <col width="3" customWidth="1" style="608" min="5396" max="5402"/>
    <col width="5.375" customWidth="1" style="608" min="5403" max="5403"/>
    <col width="4.375" customWidth="1" style="608" min="5404" max="5404"/>
    <col width="3" customWidth="1" style="608" min="5405" max="5635"/>
    <col width="3.5" customWidth="1" style="608" min="5636" max="5636"/>
    <col width="3" customWidth="1" style="608" min="5637" max="5650"/>
    <col width="3.75" customWidth="1" style="608" min="5651" max="5651"/>
    <col width="3" customWidth="1" style="608" min="5652" max="5658"/>
    <col width="5.375" customWidth="1" style="608" min="5659" max="5659"/>
    <col width="4.375" customWidth="1" style="608" min="5660" max="5660"/>
    <col width="3" customWidth="1" style="608" min="5661" max="5891"/>
    <col width="3.5" customWidth="1" style="608" min="5892" max="5892"/>
    <col width="3" customWidth="1" style="608" min="5893" max="5906"/>
    <col width="3.75" customWidth="1" style="608" min="5907" max="5907"/>
    <col width="3" customWidth="1" style="608" min="5908" max="5914"/>
    <col width="5.375" customWidth="1" style="608" min="5915" max="5915"/>
    <col width="4.375" customWidth="1" style="608" min="5916" max="5916"/>
    <col width="3" customWidth="1" style="608" min="5917" max="6147"/>
    <col width="3.5" customWidth="1" style="608" min="6148" max="6148"/>
    <col width="3" customWidth="1" style="608" min="6149" max="6162"/>
    <col width="3.75" customWidth="1" style="608" min="6163" max="6163"/>
    <col width="3" customWidth="1" style="608" min="6164" max="6170"/>
    <col width="5.375" customWidth="1" style="608" min="6171" max="6171"/>
    <col width="4.375" customWidth="1" style="608" min="6172" max="6172"/>
    <col width="3" customWidth="1" style="608" min="6173" max="6403"/>
    <col width="3.5" customWidth="1" style="608" min="6404" max="6404"/>
    <col width="3" customWidth="1" style="608" min="6405" max="6418"/>
    <col width="3.75" customWidth="1" style="608" min="6419" max="6419"/>
    <col width="3" customWidth="1" style="608" min="6420" max="6426"/>
    <col width="5.375" customWidth="1" style="608" min="6427" max="6427"/>
    <col width="4.375" customWidth="1" style="608" min="6428" max="6428"/>
    <col width="3" customWidth="1" style="608" min="6429" max="6659"/>
    <col width="3.5" customWidth="1" style="608" min="6660" max="6660"/>
    <col width="3" customWidth="1" style="608" min="6661" max="6674"/>
    <col width="3.75" customWidth="1" style="608" min="6675" max="6675"/>
    <col width="3" customWidth="1" style="608" min="6676" max="6682"/>
    <col width="5.375" customWidth="1" style="608" min="6683" max="6683"/>
    <col width="4.375" customWidth="1" style="608" min="6684" max="6684"/>
    <col width="3" customWidth="1" style="608" min="6685" max="6915"/>
    <col width="3.5" customWidth="1" style="608" min="6916" max="6916"/>
    <col width="3" customWidth="1" style="608" min="6917" max="6930"/>
    <col width="3.75" customWidth="1" style="608" min="6931" max="6931"/>
    <col width="3" customWidth="1" style="608" min="6932" max="6938"/>
    <col width="5.375" customWidth="1" style="608" min="6939" max="6939"/>
    <col width="4.375" customWidth="1" style="608" min="6940" max="6940"/>
    <col width="3" customWidth="1" style="608" min="6941" max="7171"/>
    <col width="3.5" customWidth="1" style="608" min="7172" max="7172"/>
    <col width="3" customWidth="1" style="608" min="7173" max="7186"/>
    <col width="3.75" customWidth="1" style="608" min="7187" max="7187"/>
    <col width="3" customWidth="1" style="608" min="7188" max="7194"/>
    <col width="5.375" customWidth="1" style="608" min="7195" max="7195"/>
    <col width="4.375" customWidth="1" style="608" min="7196" max="7196"/>
    <col width="3" customWidth="1" style="608" min="7197" max="7427"/>
    <col width="3.5" customWidth="1" style="608" min="7428" max="7428"/>
    <col width="3" customWidth="1" style="608" min="7429" max="7442"/>
    <col width="3.75" customWidth="1" style="608" min="7443" max="7443"/>
    <col width="3" customWidth="1" style="608" min="7444" max="7450"/>
    <col width="5.375" customWidth="1" style="608" min="7451" max="7451"/>
    <col width="4.375" customWidth="1" style="608" min="7452" max="7452"/>
    <col width="3" customWidth="1" style="608" min="7453" max="7683"/>
    <col width="3.5" customWidth="1" style="608" min="7684" max="7684"/>
    <col width="3" customWidth="1" style="608" min="7685" max="7698"/>
    <col width="3.75" customWidth="1" style="608" min="7699" max="7699"/>
    <col width="3" customWidth="1" style="608" min="7700" max="7706"/>
    <col width="5.375" customWidth="1" style="608" min="7707" max="7707"/>
    <col width="4.375" customWidth="1" style="608" min="7708" max="7708"/>
    <col width="3" customWidth="1" style="608" min="7709" max="7939"/>
    <col width="3.5" customWidth="1" style="608" min="7940" max="7940"/>
    <col width="3" customWidth="1" style="608" min="7941" max="7954"/>
    <col width="3.75" customWidth="1" style="608" min="7955" max="7955"/>
    <col width="3" customWidth="1" style="608" min="7956" max="7962"/>
    <col width="5.375" customWidth="1" style="608" min="7963" max="7963"/>
    <col width="4.375" customWidth="1" style="608" min="7964" max="7964"/>
    <col width="3" customWidth="1" style="608" min="7965" max="8195"/>
    <col width="3.5" customWidth="1" style="608" min="8196" max="8196"/>
    <col width="3" customWidth="1" style="608" min="8197" max="8210"/>
    <col width="3.75" customWidth="1" style="608" min="8211" max="8211"/>
    <col width="3" customWidth="1" style="608" min="8212" max="8218"/>
    <col width="5.375" customWidth="1" style="608" min="8219" max="8219"/>
    <col width="4.375" customWidth="1" style="608" min="8220" max="8220"/>
    <col width="3" customWidth="1" style="608" min="8221" max="8451"/>
    <col width="3.5" customWidth="1" style="608" min="8452" max="8452"/>
    <col width="3" customWidth="1" style="608" min="8453" max="8466"/>
    <col width="3.75" customWidth="1" style="608" min="8467" max="8467"/>
    <col width="3" customWidth="1" style="608" min="8468" max="8474"/>
    <col width="5.375" customWidth="1" style="608" min="8475" max="8475"/>
    <col width="4.375" customWidth="1" style="608" min="8476" max="8476"/>
    <col width="3" customWidth="1" style="608" min="8477" max="8707"/>
    <col width="3.5" customWidth="1" style="608" min="8708" max="8708"/>
    <col width="3" customWidth="1" style="608" min="8709" max="8722"/>
    <col width="3.75" customWidth="1" style="608" min="8723" max="8723"/>
    <col width="3" customWidth="1" style="608" min="8724" max="8730"/>
    <col width="5.375" customWidth="1" style="608" min="8731" max="8731"/>
    <col width="4.375" customWidth="1" style="608" min="8732" max="8732"/>
    <col width="3" customWidth="1" style="608" min="8733" max="8963"/>
    <col width="3.5" customWidth="1" style="608" min="8964" max="8964"/>
    <col width="3" customWidth="1" style="608" min="8965" max="8978"/>
    <col width="3.75" customWidth="1" style="608" min="8979" max="8979"/>
    <col width="3" customWidth="1" style="608" min="8980" max="8986"/>
    <col width="5.375" customWidth="1" style="608" min="8987" max="8987"/>
    <col width="4.375" customWidth="1" style="608" min="8988" max="8988"/>
    <col width="3" customWidth="1" style="608" min="8989" max="9219"/>
    <col width="3.5" customWidth="1" style="608" min="9220" max="9220"/>
    <col width="3" customWidth="1" style="608" min="9221" max="9234"/>
    <col width="3.75" customWidth="1" style="608" min="9235" max="9235"/>
    <col width="3" customWidth="1" style="608" min="9236" max="9242"/>
    <col width="5.375" customWidth="1" style="608" min="9243" max="9243"/>
    <col width="4.375" customWidth="1" style="608" min="9244" max="9244"/>
    <col width="3" customWidth="1" style="608" min="9245" max="9475"/>
    <col width="3.5" customWidth="1" style="608" min="9476" max="9476"/>
    <col width="3" customWidth="1" style="608" min="9477" max="9490"/>
    <col width="3.75" customWidth="1" style="608" min="9491" max="9491"/>
    <col width="3" customWidth="1" style="608" min="9492" max="9498"/>
    <col width="5.375" customWidth="1" style="608" min="9499" max="9499"/>
    <col width="4.375" customWidth="1" style="608" min="9500" max="9500"/>
    <col width="3" customWidth="1" style="608" min="9501" max="9731"/>
    <col width="3.5" customWidth="1" style="608" min="9732" max="9732"/>
    <col width="3" customWidth="1" style="608" min="9733" max="9746"/>
    <col width="3.75" customWidth="1" style="608" min="9747" max="9747"/>
    <col width="3" customWidth="1" style="608" min="9748" max="9754"/>
    <col width="5.375" customWidth="1" style="608" min="9755" max="9755"/>
    <col width="4.375" customWidth="1" style="608" min="9756" max="9756"/>
    <col width="3" customWidth="1" style="608" min="9757" max="9987"/>
    <col width="3.5" customWidth="1" style="608" min="9988" max="9988"/>
    <col width="3" customWidth="1" style="608" min="9989" max="10002"/>
    <col width="3.75" customWidth="1" style="608" min="10003" max="10003"/>
    <col width="3" customWidth="1" style="608" min="10004" max="10010"/>
    <col width="5.375" customWidth="1" style="608" min="10011" max="10011"/>
    <col width="4.375" customWidth="1" style="608" min="10012" max="10012"/>
    <col width="3" customWidth="1" style="608" min="10013" max="10243"/>
    <col width="3.5" customWidth="1" style="608" min="10244" max="10244"/>
    <col width="3" customWidth="1" style="608" min="10245" max="10258"/>
    <col width="3.75" customWidth="1" style="608" min="10259" max="10259"/>
    <col width="3" customWidth="1" style="608" min="10260" max="10266"/>
    <col width="5.375" customWidth="1" style="608" min="10267" max="10267"/>
    <col width="4.375" customWidth="1" style="608" min="10268" max="10268"/>
    <col width="3" customWidth="1" style="608" min="10269" max="10499"/>
    <col width="3.5" customWidth="1" style="608" min="10500" max="10500"/>
    <col width="3" customWidth="1" style="608" min="10501" max="10514"/>
    <col width="3.75" customWidth="1" style="608" min="10515" max="10515"/>
    <col width="3" customWidth="1" style="608" min="10516" max="10522"/>
    <col width="5.375" customWidth="1" style="608" min="10523" max="10523"/>
    <col width="4.375" customWidth="1" style="608" min="10524" max="10524"/>
    <col width="3" customWidth="1" style="608" min="10525" max="10755"/>
    <col width="3.5" customWidth="1" style="608" min="10756" max="10756"/>
    <col width="3" customWidth="1" style="608" min="10757" max="10770"/>
    <col width="3.75" customWidth="1" style="608" min="10771" max="10771"/>
    <col width="3" customWidth="1" style="608" min="10772" max="10778"/>
    <col width="5.375" customWidth="1" style="608" min="10779" max="10779"/>
    <col width="4.375" customWidth="1" style="608" min="10780" max="10780"/>
    <col width="3" customWidth="1" style="608" min="10781" max="11011"/>
    <col width="3.5" customWidth="1" style="608" min="11012" max="11012"/>
    <col width="3" customWidth="1" style="608" min="11013" max="11026"/>
    <col width="3.75" customWidth="1" style="608" min="11027" max="11027"/>
    <col width="3" customWidth="1" style="608" min="11028" max="11034"/>
    <col width="5.375" customWidth="1" style="608" min="11035" max="11035"/>
    <col width="4.375" customWidth="1" style="608" min="11036" max="11036"/>
    <col width="3" customWidth="1" style="608" min="11037" max="11267"/>
    <col width="3.5" customWidth="1" style="608" min="11268" max="11268"/>
    <col width="3" customWidth="1" style="608" min="11269" max="11282"/>
    <col width="3.75" customWidth="1" style="608" min="11283" max="11283"/>
    <col width="3" customWidth="1" style="608" min="11284" max="11290"/>
    <col width="5.375" customWidth="1" style="608" min="11291" max="11291"/>
    <col width="4.375" customWidth="1" style="608" min="11292" max="11292"/>
    <col width="3" customWidth="1" style="608" min="11293" max="11523"/>
    <col width="3.5" customWidth="1" style="608" min="11524" max="11524"/>
    <col width="3" customWidth="1" style="608" min="11525" max="11538"/>
    <col width="3.75" customWidth="1" style="608" min="11539" max="11539"/>
    <col width="3" customWidth="1" style="608" min="11540" max="11546"/>
    <col width="5.375" customWidth="1" style="608" min="11547" max="11547"/>
    <col width="4.375" customWidth="1" style="608" min="11548" max="11548"/>
    <col width="3" customWidth="1" style="608" min="11549" max="11779"/>
    <col width="3.5" customWidth="1" style="608" min="11780" max="11780"/>
    <col width="3" customWidth="1" style="608" min="11781" max="11794"/>
    <col width="3.75" customWidth="1" style="608" min="11795" max="11795"/>
    <col width="3" customWidth="1" style="608" min="11796" max="11802"/>
    <col width="5.375" customWidth="1" style="608" min="11803" max="11803"/>
    <col width="4.375" customWidth="1" style="608" min="11804" max="11804"/>
    <col width="3" customWidth="1" style="608" min="11805" max="12035"/>
    <col width="3.5" customWidth="1" style="608" min="12036" max="12036"/>
    <col width="3" customWidth="1" style="608" min="12037" max="12050"/>
    <col width="3.75" customWidth="1" style="608" min="12051" max="12051"/>
    <col width="3" customWidth="1" style="608" min="12052" max="12058"/>
    <col width="5.375" customWidth="1" style="608" min="12059" max="12059"/>
    <col width="4.375" customWidth="1" style="608" min="12060" max="12060"/>
    <col width="3" customWidth="1" style="608" min="12061" max="12291"/>
    <col width="3.5" customWidth="1" style="608" min="12292" max="12292"/>
    <col width="3" customWidth="1" style="608" min="12293" max="12306"/>
    <col width="3.75" customWidth="1" style="608" min="12307" max="12307"/>
    <col width="3" customWidth="1" style="608" min="12308" max="12314"/>
    <col width="5.375" customWidth="1" style="608" min="12315" max="12315"/>
    <col width="4.375" customWidth="1" style="608" min="12316" max="12316"/>
    <col width="3" customWidth="1" style="608" min="12317" max="12547"/>
    <col width="3.5" customWidth="1" style="608" min="12548" max="12548"/>
    <col width="3" customWidth="1" style="608" min="12549" max="12562"/>
    <col width="3.75" customWidth="1" style="608" min="12563" max="12563"/>
    <col width="3" customWidth="1" style="608" min="12564" max="12570"/>
    <col width="5.375" customWidth="1" style="608" min="12571" max="12571"/>
    <col width="4.375" customWidth="1" style="608" min="12572" max="12572"/>
    <col width="3" customWidth="1" style="608" min="12573" max="12803"/>
    <col width="3.5" customWidth="1" style="608" min="12804" max="12804"/>
    <col width="3" customWidth="1" style="608" min="12805" max="12818"/>
    <col width="3.75" customWidth="1" style="608" min="12819" max="12819"/>
    <col width="3" customWidth="1" style="608" min="12820" max="12826"/>
    <col width="5.375" customWidth="1" style="608" min="12827" max="12827"/>
    <col width="4.375" customWidth="1" style="608" min="12828" max="12828"/>
    <col width="3" customWidth="1" style="608" min="12829" max="13059"/>
    <col width="3.5" customWidth="1" style="608" min="13060" max="13060"/>
    <col width="3" customWidth="1" style="608" min="13061" max="13074"/>
    <col width="3.75" customWidth="1" style="608" min="13075" max="13075"/>
    <col width="3" customWidth="1" style="608" min="13076" max="13082"/>
    <col width="5.375" customWidth="1" style="608" min="13083" max="13083"/>
    <col width="4.375" customWidth="1" style="608" min="13084" max="13084"/>
    <col width="3" customWidth="1" style="608" min="13085" max="13315"/>
    <col width="3.5" customWidth="1" style="608" min="13316" max="13316"/>
    <col width="3" customWidth="1" style="608" min="13317" max="13330"/>
    <col width="3.75" customWidth="1" style="608" min="13331" max="13331"/>
    <col width="3" customWidth="1" style="608" min="13332" max="13338"/>
    <col width="5.375" customWidth="1" style="608" min="13339" max="13339"/>
    <col width="4.375" customWidth="1" style="608" min="13340" max="13340"/>
    <col width="3" customWidth="1" style="608" min="13341" max="13571"/>
    <col width="3.5" customWidth="1" style="608" min="13572" max="13572"/>
    <col width="3" customWidth="1" style="608" min="13573" max="13586"/>
    <col width="3.75" customWidth="1" style="608" min="13587" max="13587"/>
    <col width="3" customWidth="1" style="608" min="13588" max="13594"/>
    <col width="5.375" customWidth="1" style="608" min="13595" max="13595"/>
    <col width="4.375" customWidth="1" style="608" min="13596" max="13596"/>
    <col width="3" customWidth="1" style="608" min="13597" max="13827"/>
    <col width="3.5" customWidth="1" style="608" min="13828" max="13828"/>
    <col width="3" customWidth="1" style="608" min="13829" max="13842"/>
    <col width="3.75" customWidth="1" style="608" min="13843" max="13843"/>
    <col width="3" customWidth="1" style="608" min="13844" max="13850"/>
    <col width="5.375" customWidth="1" style="608" min="13851" max="13851"/>
    <col width="4.375" customWidth="1" style="608" min="13852" max="13852"/>
    <col width="3" customWidth="1" style="608" min="13853" max="14083"/>
    <col width="3.5" customWidth="1" style="608" min="14084" max="14084"/>
    <col width="3" customWidth="1" style="608" min="14085" max="14098"/>
    <col width="3.75" customWidth="1" style="608" min="14099" max="14099"/>
    <col width="3" customWidth="1" style="608" min="14100" max="14106"/>
    <col width="5.375" customWidth="1" style="608" min="14107" max="14107"/>
    <col width="4.375" customWidth="1" style="608" min="14108" max="14108"/>
    <col width="3" customWidth="1" style="608" min="14109" max="14339"/>
    <col width="3.5" customWidth="1" style="608" min="14340" max="14340"/>
    <col width="3" customWidth="1" style="608" min="14341" max="14354"/>
    <col width="3.75" customWidth="1" style="608" min="14355" max="14355"/>
    <col width="3" customWidth="1" style="608" min="14356" max="14362"/>
    <col width="5.375" customWidth="1" style="608" min="14363" max="14363"/>
    <col width="4.375" customWidth="1" style="608" min="14364" max="14364"/>
    <col width="3" customWidth="1" style="608" min="14365" max="14595"/>
    <col width="3.5" customWidth="1" style="608" min="14596" max="14596"/>
    <col width="3" customWidth="1" style="608" min="14597" max="14610"/>
    <col width="3.75" customWidth="1" style="608" min="14611" max="14611"/>
    <col width="3" customWidth="1" style="608" min="14612" max="14618"/>
    <col width="5.375" customWidth="1" style="608" min="14619" max="14619"/>
    <col width="4.375" customWidth="1" style="608" min="14620" max="14620"/>
    <col width="3" customWidth="1" style="608" min="14621" max="14851"/>
    <col width="3.5" customWidth="1" style="608" min="14852" max="14852"/>
    <col width="3" customWidth="1" style="608" min="14853" max="14866"/>
    <col width="3.75" customWidth="1" style="608" min="14867" max="14867"/>
    <col width="3" customWidth="1" style="608" min="14868" max="14874"/>
    <col width="5.375" customWidth="1" style="608" min="14875" max="14875"/>
    <col width="4.375" customWidth="1" style="608" min="14876" max="14876"/>
    <col width="3" customWidth="1" style="608" min="14877" max="15107"/>
    <col width="3.5" customWidth="1" style="608" min="15108" max="15108"/>
    <col width="3" customWidth="1" style="608" min="15109" max="15122"/>
    <col width="3.75" customWidth="1" style="608" min="15123" max="15123"/>
    <col width="3" customWidth="1" style="608" min="15124" max="15130"/>
    <col width="5.375" customWidth="1" style="608" min="15131" max="15131"/>
    <col width="4.375" customWidth="1" style="608" min="15132" max="15132"/>
    <col width="3" customWidth="1" style="608" min="15133" max="15363"/>
    <col width="3.5" customWidth="1" style="608" min="15364" max="15364"/>
    <col width="3" customWidth="1" style="608" min="15365" max="15378"/>
    <col width="3.75" customWidth="1" style="608" min="15379" max="15379"/>
    <col width="3" customWidth="1" style="608" min="15380" max="15386"/>
    <col width="5.375" customWidth="1" style="608" min="15387" max="15387"/>
    <col width="4.375" customWidth="1" style="608" min="15388" max="15388"/>
    <col width="3" customWidth="1" style="608" min="15389" max="15619"/>
    <col width="3.5" customWidth="1" style="608" min="15620" max="15620"/>
    <col width="3" customWidth="1" style="608" min="15621" max="15634"/>
    <col width="3.75" customWidth="1" style="608" min="15635" max="15635"/>
    <col width="3" customWidth="1" style="608" min="15636" max="15642"/>
    <col width="5.375" customWidth="1" style="608" min="15643" max="15643"/>
    <col width="4.375" customWidth="1" style="608" min="15644" max="15644"/>
    <col width="3" customWidth="1" style="608" min="15645" max="15875"/>
    <col width="3.5" customWidth="1" style="608" min="15876" max="15876"/>
    <col width="3" customWidth="1" style="608" min="15877" max="15890"/>
    <col width="3.75" customWidth="1" style="608" min="15891" max="15891"/>
    <col width="3" customWidth="1" style="608" min="15892" max="15898"/>
    <col width="5.375" customWidth="1" style="608" min="15899" max="15899"/>
    <col width="4.375" customWidth="1" style="608" min="15900" max="15900"/>
    <col width="3" customWidth="1" style="608" min="15901" max="16131"/>
    <col width="3.5" customWidth="1" style="608" min="16132" max="16132"/>
    <col width="3" customWidth="1" style="608" min="16133" max="16146"/>
    <col width="3.75" customWidth="1" style="608" min="16147" max="16147"/>
    <col width="3" customWidth="1" style="608" min="16148" max="16154"/>
    <col width="5.375" customWidth="1" style="608" min="16155" max="16155"/>
    <col width="4.375" customWidth="1" style="608" min="16156" max="16156"/>
    <col width="3" customWidth="1" style="608" min="16157" max="16384"/>
  </cols>
  <sheetData>
    <row r="2" ht="23.25" customHeight="1" s="683">
      <c r="B2" s="356">
        <f>CONCATENATE(輸入!S18,輸入!T18,輸入!S19,輸入!T19,"線上立破通報單")</f>
        <v/>
      </c>
      <c r="C2" s="357" t="n"/>
      <c r="D2" s="357" t="n"/>
      <c r="E2" s="357" t="n"/>
      <c r="F2" s="357" t="n"/>
      <c r="G2" s="357" t="n"/>
      <c r="H2" s="357" t="n"/>
      <c r="I2" s="357" t="n"/>
      <c r="J2" s="357" t="n"/>
      <c r="K2" s="357" t="n"/>
      <c r="L2" s="357" t="n"/>
      <c r="M2" s="357" t="n"/>
      <c r="N2" s="357" t="n"/>
      <c r="O2" s="357" t="n"/>
      <c r="P2" s="357" t="n"/>
      <c r="Q2" s="357" t="n"/>
      <c r="R2" s="357" t="n"/>
      <c r="S2" s="357" t="n"/>
      <c r="T2" s="357" t="n"/>
      <c r="U2" s="619" t="inlineStr">
        <is>
          <t>案號:</t>
        </is>
      </c>
      <c r="V2" s="579" t="n"/>
      <c r="W2" s="576" t="n"/>
      <c r="X2" s="602">
        <f>UPPER(word用!$U$2)</f>
        <v/>
      </c>
      <c r="Y2" s="579" t="n"/>
      <c r="Z2" s="579" t="n"/>
      <c r="AA2" s="579" t="n"/>
      <c r="AB2" s="576" t="n"/>
    </row>
    <row r="3" ht="18.75" customHeight="1" s="683">
      <c r="B3" s="604" t="inlineStr">
        <is>
          <t>發破區分</t>
        </is>
      </c>
      <c r="C3" s="579" t="n"/>
      <c r="D3" s="576" t="n"/>
      <c r="E3" s="604" t="inlineStr">
        <is>
          <t>線上查獲</t>
        </is>
      </c>
      <c r="F3" s="579" t="n"/>
      <c r="G3" s="579" t="n"/>
      <c r="H3" s="576" t="n"/>
      <c r="I3" s="604" t="inlineStr">
        <is>
          <t>主要案類</t>
        </is>
      </c>
      <c r="J3" s="579" t="n"/>
      <c r="K3" s="576" t="n"/>
      <c r="L3" s="602">
        <f>呈報單!$G$15</f>
        <v/>
      </c>
      <c r="M3" s="579" t="n"/>
      <c r="N3" s="579" t="n"/>
      <c r="O3" s="579" t="n"/>
      <c r="P3" s="579" t="n"/>
      <c r="Q3" s="579" t="n"/>
      <c r="R3" s="576" t="n"/>
      <c r="S3" s="604" t="inlineStr">
        <is>
          <t>管轄單位</t>
        </is>
      </c>
      <c r="T3" s="579" t="n"/>
      <c r="U3" s="576" t="n"/>
      <c r="V3" s="602">
        <f>CONCATENATE(輸入!$S$19&amp;輸入!$T$19,CHAR(10),輸入!$S$20&amp;輸入!$T$20)</f>
        <v/>
      </c>
      <c r="W3" s="579" t="n"/>
      <c r="X3" s="579" t="n"/>
      <c r="Y3" s="579" t="n"/>
      <c r="Z3" s="579" t="n"/>
      <c r="AA3" s="579" t="n"/>
      <c r="AB3" s="576" t="n"/>
    </row>
    <row r="4" ht="30" customHeight="1" s="683">
      <c r="B4" s="604" t="inlineStr">
        <is>
          <t>發現經過</t>
        </is>
      </c>
      <c r="C4" s="579" t="n"/>
      <c r="D4" s="576" t="n"/>
      <c r="E4" s="602">
        <f>CONCATENATE(輸入!$K$2,"查獲")</f>
        <v/>
      </c>
      <c r="F4" s="579" t="n"/>
      <c r="G4" s="579" t="n"/>
      <c r="H4" s="576" t="n"/>
      <c r="I4" s="604" t="inlineStr">
        <is>
          <t>偵破線索</t>
        </is>
      </c>
      <c r="J4" s="579" t="n"/>
      <c r="K4" s="576" t="n"/>
      <c r="L4" s="622" t="inlineStr">
        <is>
          <t>線上立即偵破
(嘉凌303)</t>
        </is>
      </c>
      <c r="M4" s="579" t="n"/>
      <c r="N4" s="579" t="n"/>
      <c r="O4" s="579" t="n"/>
      <c r="P4" s="579" t="n"/>
      <c r="Q4" s="579" t="n"/>
      <c r="R4" s="579" t="n"/>
      <c r="S4" s="577" t="inlineStr">
        <is>
          <t>偵辦單位</t>
        </is>
      </c>
      <c r="T4" s="579" t="n"/>
      <c r="U4" s="576" t="n"/>
      <c r="V4" s="577">
        <f>CONCATENATE(輸入!$S$19&amp;輸入!$T$19,CHAR(10),輸入!$S$20&amp;輸入!$T$20)</f>
        <v/>
      </c>
      <c r="W4" s="579" t="n"/>
      <c r="X4" s="579" t="n"/>
      <c r="Y4" s="579" t="n"/>
      <c r="Z4" s="579" t="n"/>
      <c r="AA4" s="579" t="n"/>
      <c r="AB4" s="576" t="n"/>
    </row>
    <row r="5" ht="27" customHeight="1" s="683">
      <c r="B5" s="604" t="inlineStr">
        <is>
          <t>時間</t>
        </is>
      </c>
      <c r="C5" s="576" t="n"/>
      <c r="D5" s="604" t="inlineStr">
        <is>
          <t>年</t>
        </is>
      </c>
      <c r="E5" s="604" t="inlineStr">
        <is>
          <t>月</t>
        </is>
      </c>
      <c r="F5" s="604" t="inlineStr">
        <is>
          <t>日</t>
        </is>
      </c>
      <c r="G5" s="604" t="inlineStr">
        <is>
          <t>時</t>
        </is>
      </c>
      <c r="H5" s="604" t="inlineStr">
        <is>
          <t>分</t>
        </is>
      </c>
      <c r="I5" s="604" t="inlineStr">
        <is>
          <t>地　　　　　　　址</t>
        </is>
      </c>
      <c r="J5" s="579" t="n"/>
      <c r="K5" s="579" t="n"/>
      <c r="L5" s="579" t="n"/>
      <c r="M5" s="579" t="n"/>
      <c r="N5" s="579" t="n"/>
      <c r="O5" s="579" t="n"/>
      <c r="P5" s="579" t="n"/>
      <c r="Q5" s="579" t="n"/>
      <c r="R5" s="579" t="n"/>
      <c r="S5" s="579" t="n"/>
      <c r="T5" s="579" t="n"/>
      <c r="U5" s="579" t="n"/>
      <c r="V5" s="579" t="n"/>
      <c r="W5" s="579" t="n"/>
      <c r="X5" s="579" t="n"/>
      <c r="Y5" s="579" t="n"/>
      <c r="Z5" s="576" t="n"/>
      <c r="AA5" s="606" t="inlineStr">
        <is>
          <t>場所或重要地標</t>
        </is>
      </c>
      <c r="AB5" s="576" t="n"/>
    </row>
    <row r="6" ht="15" customHeight="1" s="683">
      <c r="B6" s="604" t="inlineStr">
        <is>
          <t>發生</t>
        </is>
      </c>
      <c r="C6" s="576" t="n"/>
      <c r="D6" s="602">
        <f>LEFT(輸入!$C$8,3)</f>
        <v/>
      </c>
      <c r="E6" s="602">
        <f>MID(輸入!$C$8,4,2)</f>
        <v/>
      </c>
      <c r="F6" s="602">
        <f>MID(輸入!$C$8,6,2)</f>
        <v/>
      </c>
      <c r="G6" s="602">
        <f>MID(輸入!$C$8,8,2)</f>
        <v/>
      </c>
      <c r="H6" s="602">
        <f>MID(輸入!$C$8,10,2)</f>
        <v/>
      </c>
      <c r="I6" s="602">
        <f>IF(ISBLANK(輸入!$C$8),"",輸入!$C$7)</f>
        <v/>
      </c>
      <c r="J6" s="579" t="n"/>
      <c r="K6" s="579" t="n"/>
      <c r="L6" s="579" t="n"/>
      <c r="M6" s="579" t="n"/>
      <c r="N6" s="579" t="n"/>
      <c r="O6" s="579" t="n"/>
      <c r="P6" s="579" t="n"/>
      <c r="Q6" s="579" t="n"/>
      <c r="R6" s="579" t="n"/>
      <c r="S6" s="579" t="n"/>
      <c r="T6" s="579" t="n"/>
      <c r="U6" s="579" t="n"/>
      <c r="V6" s="579" t="n"/>
      <c r="W6" s="579" t="n"/>
      <c r="X6" s="579" t="n"/>
      <c r="Y6" s="579" t="n"/>
      <c r="Z6" s="576" t="n"/>
      <c r="AA6" s="602">
        <f>IF(ISBLANK(輸入!$C$8),"","街道馬路")</f>
        <v/>
      </c>
      <c r="AB6" s="576" t="n"/>
    </row>
    <row r="7" ht="15.75" customHeight="1" s="683">
      <c r="B7" s="604" t="inlineStr">
        <is>
          <t>發現</t>
        </is>
      </c>
      <c r="C7" s="576" t="n"/>
      <c r="D7" s="602">
        <f>LEFT(輸入!$C$9,3)</f>
        <v/>
      </c>
      <c r="E7" s="602">
        <f>MID(輸入!$C$9,4,2)</f>
        <v/>
      </c>
      <c r="F7" s="602">
        <f>MID(輸入!$C$9,6,2)</f>
        <v/>
      </c>
      <c r="G7" s="602">
        <f>MID(輸入!$C$9,8,2)</f>
        <v/>
      </c>
      <c r="H7" s="602">
        <f>MID(輸入!$C$9,10,2)</f>
        <v/>
      </c>
      <c r="I7" s="602">
        <f>IF(ISBLANK(輸入!$C$9),"",輸入!$C$7)</f>
        <v/>
      </c>
      <c r="J7" s="579" t="n"/>
      <c r="K7" s="579" t="n"/>
      <c r="L7" s="579" t="n"/>
      <c r="M7" s="579" t="n"/>
      <c r="N7" s="579" t="n"/>
      <c r="O7" s="579" t="n"/>
      <c r="P7" s="579" t="n"/>
      <c r="Q7" s="579" t="n"/>
      <c r="R7" s="579" t="n"/>
      <c r="S7" s="579" t="n"/>
      <c r="T7" s="579" t="n"/>
      <c r="U7" s="579" t="n"/>
      <c r="V7" s="579" t="n"/>
      <c r="W7" s="579" t="n"/>
      <c r="X7" s="579" t="n"/>
      <c r="Y7" s="579" t="n"/>
      <c r="Z7" s="576" t="n"/>
      <c r="AA7" s="602">
        <f>IF(ISBLANK(輸入!$C$9),"","街道馬路")</f>
        <v/>
      </c>
      <c r="AB7" s="576" t="n"/>
    </row>
    <row r="8" ht="14.25" customHeight="1" s="683">
      <c r="B8" s="604" t="inlineStr">
        <is>
          <t>報案</t>
        </is>
      </c>
      <c r="C8" s="576" t="n"/>
      <c r="D8" s="602">
        <f>LEFT(輸入!$C$10,3)</f>
        <v/>
      </c>
      <c r="E8" s="602">
        <f>MID(輸入!$C$10,4,2)</f>
        <v/>
      </c>
      <c r="F8" s="602">
        <f>MID(輸入!$C$10,6,2)</f>
        <v/>
      </c>
      <c r="G8" s="602">
        <f>MID(輸入!$C$10,8,2)</f>
        <v/>
      </c>
      <c r="H8" s="602">
        <f>MID(輸入!$C$10,10,2)</f>
        <v/>
      </c>
      <c r="I8" s="602">
        <f>IF(ISBLANK(輸入!$C$10),"",輸入!$C$7)</f>
        <v/>
      </c>
      <c r="J8" s="579" t="n"/>
      <c r="K8" s="579" t="n"/>
      <c r="L8" s="579" t="n"/>
      <c r="M8" s="579" t="n"/>
      <c r="N8" s="579" t="n"/>
      <c r="O8" s="579" t="n"/>
      <c r="P8" s="579" t="n"/>
      <c r="Q8" s="579" t="n"/>
      <c r="R8" s="579" t="n"/>
      <c r="S8" s="579" t="n"/>
      <c r="T8" s="579" t="n"/>
      <c r="U8" s="579" t="n"/>
      <c r="V8" s="579" t="n"/>
      <c r="W8" s="579" t="n"/>
      <c r="X8" s="579" t="n"/>
      <c r="Y8" s="579" t="n"/>
      <c r="Z8" s="576" t="n"/>
      <c r="AA8" s="602">
        <f>IF(ISBLANK(輸入!$C$10),"","街道馬路")</f>
        <v/>
      </c>
      <c r="AB8" s="576" t="n"/>
    </row>
    <row r="9" ht="18.75" customHeight="1" s="683">
      <c r="B9" s="604" t="inlineStr">
        <is>
          <t>破獲</t>
        </is>
      </c>
      <c r="C9" s="576" t="n"/>
      <c r="D9" s="602">
        <f>LEFT(輸入!$C$11,3)</f>
        <v/>
      </c>
      <c r="E9" s="602">
        <f>MID(輸入!$C$11,4,2)</f>
        <v/>
      </c>
      <c r="F9" s="602">
        <f>MID(輸入!$C$11,6,2)</f>
        <v/>
      </c>
      <c r="G9" s="602">
        <f>MID(輸入!$C$11,8,2)</f>
        <v/>
      </c>
      <c r="H9" s="602">
        <f>MID(輸入!$C$11,10,2)</f>
        <v/>
      </c>
      <c r="I9" s="602">
        <f>IF(ISBLANK(輸入!$C$11),"",輸入!$S$23)</f>
        <v/>
      </c>
      <c r="J9" s="579" t="n"/>
      <c r="K9" s="579" t="n"/>
      <c r="L9" s="579" t="n"/>
      <c r="M9" s="579" t="n"/>
      <c r="N9" s="579" t="n"/>
      <c r="O9" s="579" t="n"/>
      <c r="P9" s="579" t="n"/>
      <c r="Q9" s="579" t="n"/>
      <c r="R9" s="579" t="n"/>
      <c r="S9" s="579" t="n"/>
      <c r="T9" s="579" t="n"/>
      <c r="U9" s="579" t="n"/>
      <c r="V9" s="579" t="n"/>
      <c r="W9" s="579" t="n"/>
      <c r="X9" s="579" t="n"/>
      <c r="Y9" s="579" t="n"/>
      <c r="Z9" s="576" t="n"/>
      <c r="AA9" s="602">
        <f>IF(ISBLANK(輸入!$C$11),"","街道馬路")</f>
        <v/>
      </c>
      <c r="AB9" s="576" t="n"/>
    </row>
    <row r="10" ht="18.75" customHeight="1" s="683">
      <c r="B10" s="604" t="inlineStr">
        <is>
          <t>身份</t>
        </is>
      </c>
      <c r="C10" s="583" t="n"/>
      <c r="D10" s="610" t="inlineStr">
        <is>
          <t>姓名
(綽號)</t>
        </is>
      </c>
      <c r="E10" s="582" t="n"/>
      <c r="F10" s="582" t="n"/>
      <c r="G10" s="583" t="n"/>
      <c r="H10" s="610" t="inlineStr">
        <is>
          <t>性別</t>
        </is>
      </c>
      <c r="I10" s="604" t="inlineStr">
        <is>
          <t>出生日期</t>
        </is>
      </c>
      <c r="J10" s="579" t="n"/>
      <c r="K10" s="576" t="n"/>
      <c r="L10" s="604" t="inlineStr">
        <is>
          <t>身份證字號</t>
        </is>
      </c>
      <c r="M10" s="582" t="n"/>
      <c r="N10" s="582" t="n"/>
      <c r="O10" s="583" t="n"/>
      <c r="P10" s="604" t="inlineStr">
        <is>
          <t>聯絡電話</t>
        </is>
      </c>
      <c r="Q10" s="582" t="n"/>
      <c r="R10" s="582" t="n"/>
      <c r="S10" s="583" t="n"/>
      <c r="T10" s="604" t="inlineStr">
        <is>
          <t>職業</t>
        </is>
      </c>
      <c r="U10" s="582" t="n"/>
      <c r="V10" s="582" t="n"/>
      <c r="W10" s="583" t="n"/>
      <c r="X10" s="604" t="inlineStr">
        <is>
          <t>傷亡</t>
        </is>
      </c>
      <c r="Y10" s="582" t="n"/>
      <c r="Z10" s="583" t="n"/>
      <c r="AA10" s="604" t="inlineStr">
        <is>
          <t>財物損失</t>
        </is>
      </c>
      <c r="AB10" s="583" t="n"/>
    </row>
    <row r="11" ht="18.75" customHeight="1" s="683">
      <c r="B11" s="584" t="n"/>
      <c r="C11" s="586" t="n"/>
      <c r="D11" s="584" t="n"/>
      <c r="E11" s="585" t="n"/>
      <c r="F11" s="585" t="n"/>
      <c r="G11" s="586" t="n"/>
      <c r="H11" s="588" t="n"/>
      <c r="I11" s="604" t="inlineStr">
        <is>
          <t>年</t>
        </is>
      </c>
      <c r="J11" s="604" t="inlineStr">
        <is>
          <t>月</t>
        </is>
      </c>
      <c r="K11" s="604" t="inlineStr">
        <is>
          <t>日</t>
        </is>
      </c>
      <c r="L11" s="584" t="n"/>
      <c r="M11" s="585" t="n"/>
      <c r="N11" s="585" t="n"/>
      <c r="O11" s="586" t="n"/>
      <c r="P11" s="584" t="n"/>
      <c r="Q11" s="585" t="n"/>
      <c r="R11" s="585" t="n"/>
      <c r="S11" s="586" t="n"/>
      <c r="T11" s="584" t="n"/>
      <c r="U11" s="585" t="n"/>
      <c r="V11" s="585" t="n"/>
      <c r="W11" s="586" t="n"/>
      <c r="X11" s="584" t="n"/>
      <c r="Y11" s="585" t="n"/>
      <c r="Z11" s="586" t="n"/>
      <c r="AA11" s="584" t="n"/>
      <c r="AB11" s="586" t="n"/>
    </row>
    <row r="12" ht="16.5" customHeight="1" s="683">
      <c r="B12" s="602">
        <f>IFERROR(IF($D$12="","",VLOOKUP($D$12,個資,12,FALSE)),"")</f>
        <v/>
      </c>
      <c r="C12" s="576" t="n"/>
      <c r="D12" s="612" t="inlineStr">
        <is>
          <t>廖志盛</t>
        </is>
      </c>
      <c r="E12" s="579" t="n"/>
      <c r="F12" s="579" t="n"/>
      <c r="G12" s="576" t="n"/>
      <c r="H12" s="612">
        <f>IFERROR(IF($D$12="","",VLOOKUP($D$12,個資,11,FALSE)),"")</f>
        <v/>
      </c>
      <c r="I12" s="612">
        <f>IFERROR(IF($D$12="","",VLOOKUP($D$12,個資,16,FALSE)),"")</f>
        <v/>
      </c>
      <c r="J12" s="579" t="n"/>
      <c r="K12" s="576" t="n"/>
      <c r="L12" s="612">
        <f>IFERROR(IF($D$12="","",VLOOKUP($D$12,個資,2,FALSE)),"")</f>
        <v/>
      </c>
      <c r="M12" s="579" t="n"/>
      <c r="N12" s="579" t="n"/>
      <c r="O12" s="576" t="n"/>
      <c r="P12" s="613">
        <f>IF($H$12="","",CONCATENATE("0",VLOOKUP($D$12,個資,4,FALSE)))</f>
        <v/>
      </c>
      <c r="Q12" s="579" t="n"/>
      <c r="R12" s="579" t="n"/>
      <c r="S12" s="576" t="n"/>
      <c r="T12" s="613">
        <f>IFERROR(IF($D$12="","",VLOOKUP($D$12,個資,8,FALSE)),"")</f>
        <v/>
      </c>
      <c r="U12" s="579" t="n"/>
      <c r="V12" s="579" t="n"/>
      <c r="W12" s="576" t="n"/>
      <c r="X12" s="613" t="n"/>
      <c r="Y12" s="579" t="n"/>
      <c r="Z12" s="576" t="n"/>
      <c r="AA12" s="612" t="n"/>
      <c r="AB12" s="576" t="n"/>
    </row>
    <row r="13" ht="15.75" customHeight="1" s="683">
      <c r="B13" s="604" t="inlineStr">
        <is>
          <t>身份</t>
        </is>
      </c>
      <c r="C13" s="583" t="n"/>
      <c r="D13" s="604" t="inlineStr">
        <is>
          <t>姓名</t>
        </is>
      </c>
      <c r="E13" s="582" t="n"/>
      <c r="F13" s="582" t="n"/>
      <c r="G13" s="583" t="n"/>
      <c r="H13" s="610" t="inlineStr">
        <is>
          <t>性別</t>
        </is>
      </c>
      <c r="I13" s="604" t="inlineStr">
        <is>
          <t>出生日期</t>
        </is>
      </c>
      <c r="J13" s="579" t="n"/>
      <c r="K13" s="576" t="n"/>
      <c r="L13" s="604" t="inlineStr">
        <is>
          <t>身份證字號</t>
        </is>
      </c>
      <c r="M13" s="582" t="n"/>
      <c r="N13" s="582" t="n"/>
      <c r="O13" s="583" t="n"/>
      <c r="P13" s="610" t="inlineStr">
        <is>
          <t>居住所</t>
        </is>
      </c>
      <c r="Q13" s="582" t="n"/>
      <c r="R13" s="582" t="n"/>
      <c r="S13" s="582" t="n"/>
      <c r="T13" s="582" t="n"/>
      <c r="U13" s="582" t="n"/>
      <c r="V13" s="582" t="n"/>
      <c r="W13" s="583" t="n"/>
      <c r="X13" s="610" t="inlineStr">
        <is>
          <t>職業</t>
        </is>
      </c>
      <c r="Y13" s="583" t="n"/>
      <c r="Z13" s="610" t="inlineStr">
        <is>
          <t>通緝</t>
        </is>
      </c>
      <c r="AA13" s="610" t="inlineStr">
        <is>
          <t>前科</t>
        </is>
      </c>
      <c r="AB13" s="610" t="inlineStr">
        <is>
          <t>到案</t>
        </is>
      </c>
    </row>
    <row r="14" ht="15.75" customHeight="1" s="683">
      <c r="B14" s="584" t="n"/>
      <c r="C14" s="586" t="n"/>
      <c r="D14" s="584" t="n"/>
      <c r="E14" s="585" t="n"/>
      <c r="F14" s="585" t="n"/>
      <c r="G14" s="586" t="n"/>
      <c r="H14" s="588" t="n"/>
      <c r="I14" s="604" t="inlineStr">
        <is>
          <t>年</t>
        </is>
      </c>
      <c r="J14" s="604" t="inlineStr">
        <is>
          <t>月</t>
        </is>
      </c>
      <c r="K14" s="604" t="inlineStr">
        <is>
          <t>日</t>
        </is>
      </c>
      <c r="L14" s="584" t="n"/>
      <c r="M14" s="585" t="n"/>
      <c r="N14" s="585" t="n"/>
      <c r="O14" s="586" t="n"/>
      <c r="P14" s="584" t="n"/>
      <c r="Q14" s="585" t="n"/>
      <c r="R14" s="585" t="n"/>
      <c r="S14" s="585" t="n"/>
      <c r="T14" s="585" t="n"/>
      <c r="U14" s="585" t="n"/>
      <c r="V14" s="585" t="n"/>
      <c r="W14" s="586" t="n"/>
      <c r="X14" s="584" t="n"/>
      <c r="Y14" s="586" t="n"/>
      <c r="Z14" s="588" t="n"/>
      <c r="AA14" s="588" t="n"/>
      <c r="AB14" s="588" t="n"/>
    </row>
    <row r="15" ht="33.75" customHeight="1" s="683">
      <c r="B15" s="613">
        <f>IFERROR(IF($D$15="","",VLOOKUP($D$15,個資,12,FALSE)),"")</f>
        <v/>
      </c>
      <c r="C15" s="576" t="n"/>
      <c r="D15" s="602">
        <f>呈報單!$B$7</f>
        <v/>
      </c>
      <c r="E15" s="579" t="n"/>
      <c r="F15" s="579" t="n"/>
      <c r="G15" s="576" t="n"/>
      <c r="H15" s="602">
        <f>IFERROR(IF($D$15="","",VLOOKUP($D$15,個資,11,FALSE)),"")</f>
        <v/>
      </c>
      <c r="I15" s="602">
        <f>IFERROR(IF($D$15="","",VLOOKUP($D$15,個資,16,FALSE)),"")</f>
        <v/>
      </c>
      <c r="J15" s="579" t="n"/>
      <c r="K15" s="576" t="n"/>
      <c r="L15" s="602">
        <f>IFERROR(IF($D$15="","",VLOOKUP($D$15,個資,2,FALSE)),"")</f>
        <v/>
      </c>
      <c r="M15" s="579" t="n"/>
      <c r="N15" s="579" t="n"/>
      <c r="O15" s="576" t="n"/>
      <c r="P15" s="613">
        <f>IFERROR(IF($D$15="","",VLOOKUP($D$15,個資,6,FALSE)),"")</f>
        <v/>
      </c>
      <c r="Q15" s="579" t="n"/>
      <c r="R15" s="579" t="n"/>
      <c r="S15" s="579" t="n"/>
      <c r="T15" s="579" t="n"/>
      <c r="U15" s="579" t="n"/>
      <c r="V15" s="579" t="n"/>
      <c r="W15" s="576" t="n"/>
      <c r="X15" s="611">
        <f>IFERROR(IF($D$15="","",VLOOKUP($D$15,個資,8,FALSE)),"")</f>
        <v/>
      </c>
      <c r="Y15" s="576" t="n"/>
      <c r="Z15" s="613" t="n"/>
      <c r="AA15" s="613" t="n"/>
      <c r="AB15" s="613" t="n"/>
    </row>
    <row r="16" ht="21.75" customHeight="1" s="683">
      <c r="B16" s="604" t="inlineStr">
        <is>
          <t>不詳嫌疑人</t>
        </is>
      </c>
      <c r="C16" s="582" t="n"/>
      <c r="D16" s="582" t="n"/>
      <c r="E16" s="583" t="n"/>
      <c r="F16" s="604" t="inlineStr">
        <is>
          <t>人數</t>
        </is>
      </c>
      <c r="G16" s="576" t="n"/>
      <c r="H16" s="604" t="inlineStr">
        <is>
          <t>性別</t>
        </is>
      </c>
      <c r="I16" s="576" t="n"/>
      <c r="J16" s="604" t="inlineStr">
        <is>
          <t>年齡</t>
        </is>
      </c>
      <c r="K16" s="576" t="n"/>
      <c r="L16" s="604" t="inlineStr">
        <is>
          <t>綽號</t>
        </is>
      </c>
      <c r="M16" s="576" t="n"/>
      <c r="N16" s="604" t="inlineStr">
        <is>
          <t>體型</t>
        </is>
      </c>
      <c r="O16" s="576" t="n"/>
      <c r="P16" s="604" t="inlineStr">
        <is>
          <t>身高</t>
        </is>
      </c>
      <c r="Q16" s="576" t="n"/>
      <c r="R16" s="604" t="inlineStr">
        <is>
          <t>髮型</t>
        </is>
      </c>
      <c r="S16" s="576" t="n"/>
      <c r="T16" s="604" t="inlineStr">
        <is>
          <t>膚色</t>
        </is>
      </c>
      <c r="U16" s="576" t="n"/>
      <c r="V16" s="604" t="inlineStr">
        <is>
          <t>口音</t>
        </is>
      </c>
      <c r="W16" s="576" t="n"/>
      <c r="X16" s="604" t="inlineStr">
        <is>
          <t>人種</t>
        </is>
      </c>
      <c r="Y16" s="576" t="n"/>
      <c r="Z16" s="604" t="inlineStr">
        <is>
          <t>特徵</t>
        </is>
      </c>
      <c r="AA16" s="579" t="n"/>
      <c r="AB16" s="576" t="n"/>
    </row>
    <row r="17" ht="19.5" customHeight="1" s="683">
      <c r="B17" s="584" t="n"/>
      <c r="C17" s="585" t="n"/>
      <c r="D17" s="585" t="n"/>
      <c r="E17" s="586" t="n"/>
      <c r="F17" s="602" t="n"/>
      <c r="G17" s="576" t="n"/>
      <c r="H17" s="602" t="n"/>
      <c r="I17" s="576" t="n"/>
      <c r="J17" s="602" t="n"/>
      <c r="K17" s="576" t="n"/>
      <c r="L17" s="602" t="n"/>
      <c r="M17" s="576" t="n"/>
      <c r="N17" s="602" t="n"/>
      <c r="O17" s="576" t="n"/>
      <c r="P17" s="602" t="n"/>
      <c r="Q17" s="576" t="n"/>
      <c r="R17" s="602" t="n"/>
      <c r="S17" s="576" t="n"/>
      <c r="T17" s="602" t="n"/>
      <c r="U17" s="576" t="n"/>
      <c r="V17" s="602" t="n"/>
      <c r="W17" s="576" t="n"/>
      <c r="X17" s="602" t="n"/>
      <c r="Y17" s="576" t="n"/>
      <c r="Z17" s="602" t="n"/>
      <c r="AA17" s="579" t="n"/>
      <c r="AB17" s="576" t="n"/>
    </row>
    <row r="18" ht="24.75" customHeight="1" s="683">
      <c r="B18" s="610" t="inlineStr">
        <is>
          <t>犯罪分析</t>
        </is>
      </c>
      <c r="C18" s="582" t="n"/>
      <c r="D18" s="582" t="n"/>
      <c r="E18" s="583" t="n"/>
      <c r="F18" s="610" t="inlineStr">
        <is>
          <t>手法</t>
        </is>
      </c>
      <c r="G18" s="583" t="n"/>
      <c r="H18" s="606" t="inlineStr">
        <is>
          <t>原因
(動機)</t>
        </is>
      </c>
      <c r="I18" s="583" t="n"/>
      <c r="J18" s="610" t="inlineStr">
        <is>
          <t>習癖</t>
        </is>
      </c>
      <c r="K18" s="583" t="n"/>
      <c r="L18" s="610" t="inlineStr">
        <is>
          <t>犯罪工具</t>
        </is>
      </c>
      <c r="M18" s="582" t="n"/>
      <c r="N18" s="583" t="n"/>
      <c r="O18" s="610" t="inlineStr">
        <is>
          <t>槍彈</t>
        </is>
      </c>
      <c r="P18" s="583" t="n"/>
      <c r="Q18" s="604" t="inlineStr">
        <is>
          <t>交通工具</t>
        </is>
      </c>
      <c r="R18" s="579" t="n"/>
      <c r="S18" s="579" t="n"/>
      <c r="T18" s="579" t="n"/>
      <c r="U18" s="579" t="n"/>
      <c r="V18" s="579" t="n"/>
      <c r="W18" s="579" t="n"/>
      <c r="X18" s="579" t="n"/>
      <c r="Y18" s="579" t="n"/>
      <c r="Z18" s="579" t="n"/>
      <c r="AA18" s="579" t="n"/>
      <c r="AB18" s="576" t="n"/>
    </row>
    <row r="19" ht="18.75" customHeight="1" s="683">
      <c r="B19" s="607" t="n"/>
      <c r="E19" s="609" t="n"/>
      <c r="F19" s="584" t="n"/>
      <c r="G19" s="586" t="n"/>
      <c r="H19" s="584" t="n"/>
      <c r="I19" s="586" t="n"/>
      <c r="J19" s="584" t="n"/>
      <c r="K19" s="586" t="n"/>
      <c r="L19" s="584" t="n"/>
      <c r="M19" s="585" t="n"/>
      <c r="N19" s="586" t="n"/>
      <c r="O19" s="584" t="n"/>
      <c r="P19" s="586" t="n"/>
      <c r="Q19" s="604" t="inlineStr">
        <is>
          <t>車種</t>
        </is>
      </c>
      <c r="R19" s="576" t="n"/>
      <c r="S19" s="604" t="inlineStr">
        <is>
          <t>號牌</t>
        </is>
      </c>
      <c r="T19" s="576" t="n"/>
      <c r="U19" s="604" t="inlineStr">
        <is>
          <t>排氣量</t>
        </is>
      </c>
      <c r="V19" s="576" t="n"/>
      <c r="W19" s="604" t="inlineStr">
        <is>
          <t>顏色</t>
        </is>
      </c>
      <c r="X19" s="576" t="n"/>
      <c r="Y19" s="604" t="inlineStr">
        <is>
          <t>年份</t>
        </is>
      </c>
      <c r="Z19" s="576" t="n"/>
      <c r="AA19" s="604" t="inlineStr">
        <is>
          <t>廠牌</t>
        </is>
      </c>
      <c r="AB19" s="576" t="n"/>
    </row>
    <row r="20" ht="18.75" customHeight="1" s="683">
      <c r="B20" s="584" t="n"/>
      <c r="C20" s="585" t="n"/>
      <c r="D20" s="585" t="n"/>
      <c r="E20" s="586" t="n"/>
      <c r="F20" s="616" t="n"/>
      <c r="G20" s="576" t="n"/>
      <c r="H20" s="616" t="n"/>
      <c r="I20" s="576" t="n"/>
      <c r="J20" s="616" t="n"/>
      <c r="K20" s="576" t="n"/>
      <c r="L20" s="616" t="n"/>
      <c r="M20" s="579" t="n"/>
      <c r="N20" s="576" t="n"/>
      <c r="O20" s="616" t="n"/>
      <c r="P20" s="576" t="n"/>
      <c r="Q20" s="621" t="n"/>
      <c r="R20" s="576" t="n"/>
      <c r="S20" s="614" t="n"/>
      <c r="T20" s="576" t="n"/>
      <c r="U20" s="602" t="n"/>
      <c r="V20" s="576" t="n"/>
      <c r="W20" s="602" t="n"/>
      <c r="X20" s="576" t="n"/>
      <c r="Y20" s="602" t="n"/>
      <c r="Z20" s="576" t="n"/>
      <c r="AA20" s="602" t="n"/>
      <c r="AB20" s="576" t="n"/>
    </row>
    <row r="21" ht="42.75" customHeight="1" s="683">
      <c r="B21" s="610" t="inlineStr">
        <is>
          <t>案情摘要
偵破經過</t>
        </is>
      </c>
      <c r="C21" s="582" t="n"/>
      <c r="D21" s="582" t="n"/>
      <c r="E21" s="583" t="n"/>
      <c r="F21" s="605">
        <f>呈報單!$F$16</f>
        <v/>
      </c>
      <c r="G21" s="582" t="n"/>
      <c r="H21" s="582" t="n"/>
      <c r="I21" s="582" t="n"/>
      <c r="J21" s="582" t="n"/>
      <c r="K21" s="582" t="n"/>
      <c r="L21" s="582" t="n"/>
      <c r="M21" s="582" t="n"/>
      <c r="N21" s="582" t="n"/>
      <c r="O21" s="582" t="n"/>
      <c r="P21" s="582" t="n"/>
      <c r="Q21" s="582" t="n"/>
      <c r="R21" s="582" t="n"/>
      <c r="S21" s="582" t="n"/>
      <c r="T21" s="582" t="n"/>
      <c r="U21" s="582" t="n"/>
      <c r="V21" s="582" t="n"/>
      <c r="W21" s="582" t="n"/>
      <c r="X21" s="582" t="n"/>
      <c r="Y21" s="582" t="n"/>
      <c r="Z21" s="582" t="n"/>
      <c r="AA21" s="582" t="n"/>
      <c r="AB21" s="583" t="n"/>
    </row>
    <row r="22" ht="103.5" customHeight="1" s="683">
      <c r="B22" s="584" t="n"/>
      <c r="C22" s="585" t="n"/>
      <c r="D22" s="585" t="n"/>
      <c r="E22" s="586" t="n"/>
      <c r="F22" s="584" t="n"/>
      <c r="G22" s="585" t="n"/>
      <c r="H22" s="585" t="n"/>
      <c r="I22" s="585" t="n"/>
      <c r="J22" s="585" t="n"/>
      <c r="K22" s="585" t="n"/>
      <c r="L22" s="585" t="n"/>
      <c r="M22" s="585" t="n"/>
      <c r="N22" s="585" t="n"/>
      <c r="O22" s="585" t="n"/>
      <c r="P22" s="585" t="n"/>
      <c r="Q22" s="585" t="n"/>
      <c r="R22" s="585" t="n"/>
      <c r="S22" s="585" t="n"/>
      <c r="T22" s="585" t="n"/>
      <c r="U22" s="585" t="n"/>
      <c r="V22" s="585" t="n"/>
      <c r="W22" s="585" t="n"/>
      <c r="X22" s="585" t="n"/>
      <c r="Y22" s="585" t="n"/>
      <c r="Z22" s="585" t="n"/>
      <c r="AA22" s="585" t="n"/>
      <c r="AB22" s="586" t="n"/>
    </row>
    <row r="23" ht="18.75" customHeight="1" s="683">
      <c r="B23" s="604" t="inlineStr">
        <is>
          <t>現場勘查</t>
        </is>
      </c>
      <c r="C23" s="579" t="n"/>
      <c r="D23" s="579" t="n"/>
      <c r="E23" s="579" t="n"/>
      <c r="F23" s="576" t="n"/>
      <c r="G23" s="604" t="inlineStr">
        <is>
          <t>搜採證物</t>
        </is>
      </c>
      <c r="H23" s="579" t="n"/>
      <c r="I23" s="576" t="n"/>
      <c r="J23" s="604" t="inlineStr">
        <is>
          <t>藥瓶一瓶</t>
        </is>
      </c>
      <c r="K23" s="579" t="n"/>
      <c r="L23" s="576" t="n"/>
      <c r="M23" s="618" t="inlineStr">
        <is>
          <t>訪得線索</t>
        </is>
      </c>
      <c r="N23" s="579" t="n"/>
      <c r="O23" s="576" t="n"/>
      <c r="P23" s="604" t="n"/>
      <c r="Q23" s="579" t="n"/>
      <c r="R23" s="576" t="n"/>
      <c r="S23" s="610" t="inlineStr">
        <is>
          <t>勘查時間</t>
        </is>
      </c>
      <c r="T23" s="579" t="n"/>
      <c r="U23" s="579" t="n"/>
      <c r="V23" s="576" t="n"/>
      <c r="W23" s="354" t="n"/>
      <c r="X23" s="354" t="n"/>
      <c r="Y23" s="354" t="n"/>
      <c r="Z23" s="354" t="n"/>
      <c r="AA23" s="354" t="n"/>
      <c r="AB23" s="355" t="n"/>
    </row>
    <row r="24" ht="18.75" customHeight="1" s="683">
      <c r="B24" s="604" t="inlineStr">
        <is>
          <t>請求事項</t>
        </is>
      </c>
      <c r="C24" s="579" t="n"/>
      <c r="D24" s="579" t="n"/>
      <c r="E24" s="579" t="n"/>
      <c r="F24" s="576" t="n"/>
      <c r="G24" s="604" t="n"/>
      <c r="H24" s="579" t="n"/>
      <c r="I24" s="579" t="n"/>
      <c r="J24" s="579" t="n"/>
      <c r="K24" s="579" t="n"/>
      <c r="L24" s="579" t="n"/>
      <c r="M24" s="579" t="n"/>
      <c r="N24" s="579" t="n"/>
      <c r="O24" s="576" t="n"/>
      <c r="P24" s="623" t="inlineStr">
        <is>
          <t>督導事項</t>
        </is>
      </c>
      <c r="Q24" s="585" t="n"/>
      <c r="R24" s="586" t="n"/>
      <c r="S24" s="603" t="n"/>
      <c r="T24" s="585" t="n"/>
      <c r="U24" s="585" t="n"/>
      <c r="V24" s="585" t="n"/>
      <c r="W24" s="585" t="n"/>
      <c r="X24" s="585" t="n"/>
      <c r="Y24" s="585" t="n"/>
      <c r="Z24" s="585" t="n"/>
      <c r="AA24" s="585" t="n"/>
      <c r="AB24" s="586" t="n"/>
    </row>
    <row r="25" ht="18.75" customHeight="1" s="683">
      <c r="B25" s="604" t="inlineStr">
        <is>
          <t>通報單位</t>
        </is>
      </c>
      <c r="C25" s="579" t="n"/>
      <c r="D25" s="579" t="n"/>
      <c r="E25" s="579" t="n"/>
      <c r="F25" s="576" t="n"/>
      <c r="G25" s="620">
        <f>CONCATENATE(輸入!$S$18,輸入!$T$18,輸入!$S$19,輸入!$T$19,輸入!$S$20&amp;輸入!$T$20)</f>
        <v/>
      </c>
      <c r="H25" s="579" t="n"/>
      <c r="I25" s="579" t="n"/>
      <c r="J25" s="579" t="n"/>
      <c r="K25" s="579" t="n"/>
      <c r="L25" s="579" t="n"/>
      <c r="M25" s="579" t="n"/>
      <c r="N25" s="579" t="n"/>
      <c r="O25" s="579" t="n"/>
      <c r="P25" s="579" t="n"/>
      <c r="Q25" s="579" t="n"/>
      <c r="R25" s="579" t="n"/>
      <c r="S25" s="579" t="n"/>
      <c r="T25" s="579" t="n"/>
      <c r="U25" s="579" t="n"/>
      <c r="V25" s="579" t="n"/>
      <c r="W25" s="579" t="n"/>
      <c r="X25" s="579" t="n"/>
      <c r="Y25" s="579" t="n"/>
      <c r="Z25" s="579" t="n"/>
      <c r="AA25" s="579" t="n"/>
      <c r="AB25" s="576" t="n"/>
    </row>
    <row r="26" ht="18.75" customHeight="1" s="683">
      <c r="B26" s="604" t="inlineStr">
        <is>
          <t>通報人員</t>
        </is>
      </c>
      <c r="C26" s="579" t="n"/>
      <c r="D26" s="579" t="n"/>
      <c r="E26" s="579" t="n"/>
      <c r="F26" s="576" t="n"/>
      <c r="G26" s="617" t="n"/>
      <c r="H26" s="579" t="n"/>
      <c r="I26" s="579" t="n"/>
      <c r="J26" s="579" t="n"/>
      <c r="K26" s="579" t="n"/>
      <c r="L26" s="579" t="n"/>
      <c r="M26" s="579" t="n"/>
      <c r="N26" s="579" t="n"/>
      <c r="O26" s="576" t="n"/>
      <c r="P26" s="604" t="inlineStr">
        <is>
          <t>聯絡電話</t>
        </is>
      </c>
      <c r="Q26" s="579" t="n"/>
      <c r="R26" s="576" t="n"/>
      <c r="S26" s="602">
        <f>輸入!$T$21</f>
        <v/>
      </c>
      <c r="T26" s="579" t="n"/>
      <c r="U26" s="579" t="n"/>
      <c r="V26" s="579" t="n"/>
      <c r="W26" s="579" t="n"/>
      <c r="X26" s="579" t="n"/>
      <c r="Y26" s="579" t="n"/>
      <c r="Z26" s="579" t="n"/>
      <c r="AA26" s="579" t="n"/>
      <c r="AB26" s="576" t="n"/>
    </row>
    <row r="27" ht="18.75" customHeight="1" s="683">
      <c r="B27" s="604" t="inlineStr">
        <is>
          <t>刑案紀錄表編號</t>
        </is>
      </c>
      <c r="C27" s="579" t="n"/>
      <c r="D27" s="579" t="n"/>
      <c r="E27" s="579" t="n"/>
      <c r="F27" s="579" t="n"/>
      <c r="G27" s="576" t="n"/>
      <c r="H27" s="604" t="n"/>
      <c r="I27" s="579" t="n"/>
      <c r="J27" s="579" t="n"/>
      <c r="K27" s="579" t="n"/>
      <c r="L27" s="579" t="n"/>
      <c r="M27" s="579" t="n"/>
      <c r="N27" s="579" t="n"/>
      <c r="O27" s="576" t="n"/>
      <c r="P27" s="604" t="inlineStr">
        <is>
          <t>通報時間</t>
        </is>
      </c>
      <c r="Q27" s="579" t="n"/>
      <c r="R27" s="576" t="n"/>
      <c r="S27" s="602">
        <f>CONCATENATE(輸入!$T$17,"年  月  日  時  分")</f>
        <v/>
      </c>
      <c r="T27" s="579" t="n"/>
      <c r="U27" s="579" t="n"/>
      <c r="V27" s="579" t="n"/>
      <c r="W27" s="579" t="n"/>
      <c r="X27" s="579" t="n"/>
      <c r="Y27" s="579" t="n"/>
      <c r="Z27" s="579" t="n"/>
      <c r="AA27" s="579" t="n"/>
      <c r="AB27" s="576" t="n"/>
    </row>
    <row r="28" ht="18.75" customHeight="1" s="683">
      <c r="B28" s="604" t="inlineStr">
        <is>
          <t>偵查隊</t>
        </is>
      </c>
      <c r="C28" s="579" t="n"/>
      <c r="D28" s="579" t="n"/>
      <c r="E28" s="579" t="n"/>
      <c r="F28" s="579" t="n"/>
      <c r="G28" s="576" t="n"/>
      <c r="H28" s="604" t="inlineStr">
        <is>
          <t>勤務指揮中心</t>
        </is>
      </c>
      <c r="I28" s="579" t="n"/>
      <c r="J28" s="579" t="n"/>
      <c r="K28" s="579" t="n"/>
      <c r="L28" s="579" t="n"/>
      <c r="M28" s="576" t="n"/>
      <c r="N28" s="604" t="inlineStr">
        <is>
          <t>督察組</t>
        </is>
      </c>
      <c r="O28" s="579" t="n"/>
      <c r="P28" s="579" t="n"/>
      <c r="Q28" s="579" t="n"/>
      <c r="R28" s="576" t="n"/>
      <c r="S28" s="604" t="inlineStr">
        <is>
          <t>副分局長</t>
        </is>
      </c>
      <c r="T28" s="579" t="n"/>
      <c r="U28" s="579" t="n"/>
      <c r="V28" s="579" t="n"/>
      <c r="W28" s="576" t="n"/>
      <c r="X28" s="604" t="inlineStr">
        <is>
          <t>分局長</t>
        </is>
      </c>
      <c r="Y28" s="579" t="n"/>
      <c r="Z28" s="579" t="n"/>
      <c r="AA28" s="579" t="n"/>
      <c r="AB28" s="576" t="n"/>
    </row>
    <row r="29" ht="21.75" customHeight="1" s="683">
      <c r="B29" s="615" t="inlineStr">
        <is>
          <t>擬：
一、本案經查符合
    線上立破之要
    件。
二、依規定通報。</t>
        </is>
      </c>
      <c r="C29" s="582" t="n"/>
      <c r="D29" s="582" t="n"/>
      <c r="E29" s="582" t="n"/>
      <c r="F29" s="582" t="n"/>
      <c r="G29" s="583" t="n"/>
      <c r="H29" s="615" t="inlineStr">
        <is>
          <t>1. 轄區內破獲
   是□、否□
2. 勤務中心指揮
   是□、否□
3. 勤務編排項目
   是□、否□</t>
        </is>
      </c>
      <c r="I29" s="582" t="n"/>
      <c r="J29" s="582" t="n"/>
      <c r="K29" s="582" t="n"/>
      <c r="L29" s="582" t="n"/>
      <c r="M29" s="583" t="n"/>
      <c r="N29" s="604" t="n"/>
      <c r="O29" s="582" t="n"/>
      <c r="P29" s="582" t="n"/>
      <c r="Q29" s="582" t="n"/>
      <c r="R29" s="583" t="n"/>
      <c r="S29" s="604" t="n"/>
      <c r="T29" s="582" t="n"/>
      <c r="U29" s="582" t="n"/>
      <c r="V29" s="582" t="n"/>
      <c r="W29" s="583" t="n"/>
      <c r="X29" s="604" t="n"/>
      <c r="Y29" s="582" t="n"/>
      <c r="Z29" s="582" t="n"/>
      <c r="AA29" s="582" t="n"/>
      <c r="AB29" s="583" t="n"/>
    </row>
    <row r="30" ht="21.75" customHeight="1" s="683">
      <c r="B30" s="607" t="n"/>
      <c r="G30" s="609" t="n"/>
      <c r="H30" s="607" t="n"/>
      <c r="M30" s="609" t="n"/>
      <c r="N30" s="607" t="n"/>
      <c r="R30" s="609" t="n"/>
      <c r="S30" s="607" t="n"/>
      <c r="W30" s="609" t="n"/>
      <c r="X30" s="607" t="n"/>
      <c r="AB30" s="609" t="n"/>
    </row>
    <row r="31" ht="21.75" customHeight="1" s="683">
      <c r="B31" s="607" t="n"/>
      <c r="G31" s="609" t="n"/>
      <c r="H31" s="607" t="n"/>
      <c r="M31" s="609" t="n"/>
      <c r="N31" s="607" t="n"/>
      <c r="R31" s="609" t="n"/>
      <c r="S31" s="607" t="n"/>
      <c r="W31" s="609" t="n"/>
      <c r="X31" s="607" t="n"/>
      <c r="AB31" s="609" t="n"/>
    </row>
    <row r="32" ht="45.75" customHeight="1" s="683">
      <c r="B32" s="584" t="n"/>
      <c r="C32" s="585" t="n"/>
      <c r="D32" s="585" t="n"/>
      <c r="E32" s="585" t="n"/>
      <c r="F32" s="585" t="n"/>
      <c r="G32" s="586" t="n"/>
      <c r="H32" s="584" t="n"/>
      <c r="I32" s="585" t="n"/>
      <c r="J32" s="585" t="n"/>
      <c r="K32" s="585" t="n"/>
      <c r="L32" s="585" t="n"/>
      <c r="M32" s="586" t="n"/>
      <c r="N32" s="584" t="n"/>
      <c r="O32" s="585" t="n"/>
      <c r="P32" s="585" t="n"/>
      <c r="Q32" s="585" t="n"/>
      <c r="R32" s="586" t="n"/>
      <c r="S32" s="584" t="n"/>
      <c r="T32" s="585" t="n"/>
      <c r="U32" s="585" t="n"/>
      <c r="V32" s="585" t="n"/>
      <c r="W32" s="586" t="n"/>
      <c r="X32" s="584" t="n"/>
      <c r="Y32" s="585" t="n"/>
      <c r="Z32" s="585" t="n"/>
      <c r="AA32" s="585" t="n"/>
      <c r="AB32" s="586" t="n"/>
    </row>
  </sheetData>
  <mergeCells count="141">
    <mergeCell ref="L17:M17"/>
    <mergeCell ref="S24:AB24"/>
    <mergeCell ref="V17:W17"/>
    <mergeCell ref="P27:R27"/>
    <mergeCell ref="F16:G16"/>
    <mergeCell ref="F21:AB22"/>
    <mergeCell ref="B25:F25"/>
    <mergeCell ref="Z17:AB17"/>
    <mergeCell ref="B12:C12"/>
    <mergeCell ref="H18:I19"/>
    <mergeCell ref="S29:W32"/>
    <mergeCell ref="I10:K10"/>
    <mergeCell ref="H13:H14"/>
    <mergeCell ref="S27:AB27"/>
    <mergeCell ref="AA7:AB7"/>
    <mergeCell ref="X15:Y15"/>
    <mergeCell ref="S19:T19"/>
    <mergeCell ref="B4:D4"/>
    <mergeCell ref="L12:O12"/>
    <mergeCell ref="AA10:AB11"/>
    <mergeCell ref="N28:R28"/>
    <mergeCell ref="X12:Z12"/>
    <mergeCell ref="H27:O27"/>
    <mergeCell ref="X13:Y14"/>
    <mergeCell ref="I6:Z6"/>
    <mergeCell ref="S20:T20"/>
    <mergeCell ref="T12:W12"/>
    <mergeCell ref="U20:V20"/>
    <mergeCell ref="S3:U3"/>
    <mergeCell ref="B21:E22"/>
    <mergeCell ref="H10:H11"/>
    <mergeCell ref="I7:Z7"/>
    <mergeCell ref="L16:M16"/>
    <mergeCell ref="N16:O16"/>
    <mergeCell ref="N29:R32"/>
    <mergeCell ref="I12:K12"/>
    <mergeCell ref="X17:Y17"/>
    <mergeCell ref="J18:K19"/>
    <mergeCell ref="G24:O24"/>
    <mergeCell ref="R16:S16"/>
    <mergeCell ref="P13:W14"/>
    <mergeCell ref="E3:H3"/>
    <mergeCell ref="H29:M32"/>
    <mergeCell ref="S26:AB26"/>
    <mergeCell ref="AA6:AB6"/>
    <mergeCell ref="F20:G20"/>
    <mergeCell ref="I4:K4"/>
    <mergeCell ref="G26:O26"/>
    <mergeCell ref="S28:W28"/>
    <mergeCell ref="L10:O11"/>
    <mergeCell ref="F17:G17"/>
    <mergeCell ref="H17:I17"/>
    <mergeCell ref="M23:O23"/>
    <mergeCell ref="J20:K20"/>
    <mergeCell ref="L18:N19"/>
    <mergeCell ref="E4:H4"/>
    <mergeCell ref="Z13:Z14"/>
    <mergeCell ref="AB13:AB14"/>
    <mergeCell ref="I9:Z9"/>
    <mergeCell ref="S23:V23"/>
    <mergeCell ref="B6:C6"/>
    <mergeCell ref="B15:C15"/>
    <mergeCell ref="B27:G27"/>
    <mergeCell ref="F18:G19"/>
    <mergeCell ref="Q18:AB18"/>
    <mergeCell ref="U19:V19"/>
    <mergeCell ref="AA8:AB8"/>
    <mergeCell ref="W19:X19"/>
    <mergeCell ref="U2:W2"/>
    <mergeCell ref="B7:C7"/>
    <mergeCell ref="L13:O14"/>
    <mergeCell ref="B10:C11"/>
    <mergeCell ref="AA19:AB19"/>
    <mergeCell ref="D15:G15"/>
    <mergeCell ref="P23:R23"/>
    <mergeCell ref="I3:K3"/>
    <mergeCell ref="AA9:AB9"/>
    <mergeCell ref="G25:AB25"/>
    <mergeCell ref="X16:Y16"/>
    <mergeCell ref="W20:X20"/>
    <mergeCell ref="O20:P20"/>
    <mergeCell ref="Y20:Z20"/>
    <mergeCell ref="X29:AB32"/>
    <mergeCell ref="H28:M28"/>
    <mergeCell ref="V3:AB3"/>
    <mergeCell ref="Q20:R20"/>
    <mergeCell ref="AA5:AB5"/>
    <mergeCell ref="B23:F23"/>
    <mergeCell ref="I8:Z8"/>
    <mergeCell ref="N17:O17"/>
    <mergeCell ref="P17:Q17"/>
    <mergeCell ref="I13:K13"/>
    <mergeCell ref="H16:I16"/>
    <mergeCell ref="J16:K16"/>
    <mergeCell ref="S4:U4"/>
    <mergeCell ref="V4:AB4"/>
    <mergeCell ref="R17:S17"/>
    <mergeCell ref="B9:C9"/>
    <mergeCell ref="T17:U17"/>
    <mergeCell ref="I15:K15"/>
    <mergeCell ref="B18:E20"/>
    <mergeCell ref="D10:G11"/>
    <mergeCell ref="B5:C5"/>
    <mergeCell ref="X10:Z11"/>
    <mergeCell ref="G23:I23"/>
    <mergeCell ref="L4:R4"/>
    <mergeCell ref="P15:W15"/>
    <mergeCell ref="T10:W11"/>
    <mergeCell ref="B13:C14"/>
    <mergeCell ref="H20:I20"/>
    <mergeCell ref="D12:G12"/>
    <mergeCell ref="X2:AB2"/>
    <mergeCell ref="P12:S12"/>
    <mergeCell ref="L20:N20"/>
    <mergeCell ref="B28:G28"/>
    <mergeCell ref="D13:G14"/>
    <mergeCell ref="X28:AB28"/>
    <mergeCell ref="I5:Z5"/>
    <mergeCell ref="Y19:Z19"/>
    <mergeCell ref="Q19:R19"/>
    <mergeCell ref="B8:C8"/>
    <mergeCell ref="AA20:AB20"/>
    <mergeCell ref="P24:R24"/>
    <mergeCell ref="P16:Q16"/>
    <mergeCell ref="J23:L23"/>
    <mergeCell ref="L3:R3"/>
    <mergeCell ref="O18:P19"/>
    <mergeCell ref="L15:O15"/>
    <mergeCell ref="P26:R26"/>
    <mergeCell ref="B3:D3"/>
    <mergeCell ref="B29:G32"/>
    <mergeCell ref="T16:U16"/>
    <mergeCell ref="AA12:AB12"/>
    <mergeCell ref="V16:W16"/>
    <mergeCell ref="B24:F24"/>
    <mergeCell ref="AA13:AA14"/>
    <mergeCell ref="B16:E17"/>
    <mergeCell ref="Z16:AB16"/>
    <mergeCell ref="B26:F26"/>
    <mergeCell ref="P10:S11"/>
    <mergeCell ref="J17:K17"/>
  </mergeCells>
  <dataValidations disablePrompts="1" count="1">
    <dataValidation sqref="D12:G12" showDropDown="0" showInputMessage="1" showErrorMessage="1" allowBlank="1" type="list">
      <formula1>姓名</formula1>
    </dataValidation>
  </dataValidations>
  <pageMargins left="0.7" right="0.7" top="0.75" bottom="0.75" header="0.3" footer="0.3"/>
  <pageSetup orientation="portrait" paperSize="9"/>
</worksheet>
</file>

<file path=xl/worksheets/sheet7.xml><?xml version="1.0" encoding="utf-8"?>
<worksheet xmlns="http://schemas.openxmlformats.org/spreadsheetml/2006/main">
  <sheetPr codeName="工作表5">
    <tabColor rgb="FFFF0000"/>
    <outlinePr summaryBelow="1" summaryRight="1"/>
    <pageSetUpPr/>
  </sheetPr>
  <dimension ref="B1:AA21"/>
  <sheetViews>
    <sheetView showGridLines="0" showZeros="0" view="pageBreakPreview" zoomScaleNormal="75" zoomScaleSheetLayoutView="100" workbookViewId="0">
      <selection activeCell="V3" sqref="V3:AA3"/>
    </sheetView>
  </sheetViews>
  <sheetFormatPr baseColWidth="8" defaultColWidth="3.125" defaultRowHeight="18.75" customHeight="1"/>
  <cols>
    <col width="1.625" customWidth="1" style="25" min="1" max="1"/>
    <col width="3.375" customWidth="1" style="25" min="2" max="6"/>
    <col width="3.75" customWidth="1" style="25" min="7" max="7"/>
    <col width="3.375" customWidth="1" style="25" min="8" max="8"/>
    <col width="3.875" customWidth="1" style="25" min="9" max="9"/>
    <col width="3.375" customWidth="1" style="25" min="10" max="13"/>
    <col width="4.625" customWidth="1" style="25" min="14" max="15"/>
    <col width="3.375" customWidth="1" style="25" min="16" max="26"/>
    <col width="1.375" customWidth="1" style="25" min="27" max="27"/>
    <col width="3.125" customWidth="1" style="25" min="28" max="29"/>
    <col width="3.125" customWidth="1" style="25" min="30" max="16384"/>
  </cols>
  <sheetData>
    <row r="1" ht="22.5" customHeight="1" s="683">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c r="AA1" s="26" t="n"/>
    </row>
    <row r="2" ht="34.5" customHeight="1" s="683">
      <c r="B2" s="639">
        <f>CONCATENATE(,輸入!$S$18,輸入!$T$18,輸入!$S$19,輸入!$T$19,"刑案陳報單")</f>
        <v/>
      </c>
      <c r="C2" s="637" t="n"/>
      <c r="D2" s="637" t="n"/>
      <c r="E2" s="637" t="n"/>
      <c r="F2" s="637" t="n"/>
      <c r="G2" s="637" t="n"/>
      <c r="H2" s="637" t="n"/>
      <c r="I2" s="637" t="n"/>
      <c r="J2" s="637" t="n"/>
      <c r="K2" s="637" t="n"/>
      <c r="L2" s="637" t="n"/>
      <c r="M2" s="637" t="n"/>
      <c r="N2" s="637" t="n"/>
      <c r="O2" s="637" t="n"/>
      <c r="P2" s="637" t="n"/>
      <c r="Q2" s="637" t="n"/>
      <c r="R2" s="637" t="n"/>
      <c r="S2" s="637" t="n"/>
      <c r="T2" s="637" t="n"/>
      <c r="U2" s="637" t="n"/>
      <c r="V2" s="637" t="n"/>
      <c r="W2" s="637" t="n"/>
      <c r="X2" s="637" t="n"/>
      <c r="Y2" s="637" t="n"/>
      <c r="Z2" s="637" t="n"/>
      <c r="AA2" s="637" t="n"/>
    </row>
    <row r="3" ht="18.75" customHeight="1" s="683">
      <c r="B3" s="29" t="n"/>
      <c r="C3" s="29">
        <f>IF(ISBLANK(輸入!$C$11),下拉用!$J$11,下拉用!$J$10)</f>
        <v/>
      </c>
      <c r="E3" s="40" t="n"/>
      <c r="F3" s="40" t="n"/>
      <c r="G3" s="40" t="n"/>
      <c r="H3" s="40" t="n"/>
      <c r="I3" s="41" t="n"/>
      <c r="J3" s="650" t="n"/>
      <c r="K3" s="650" t="n"/>
      <c r="L3" s="32" t="n"/>
      <c r="N3" s="31" t="inlineStr">
        <is>
          <t>發文字號：</t>
        </is>
      </c>
      <c r="O3" s="30" t="n"/>
      <c r="P3" s="26" t="n"/>
      <c r="Q3" s="26" t="n"/>
      <c r="S3" s="29" t="inlineStr">
        <is>
          <t>案件編號：</t>
        </is>
      </c>
      <c r="U3" s="28" t="n"/>
      <c r="V3" s="650">
        <f>IF(ISBLANK(word用!$U$2),"",word用!$U$2)</f>
        <v/>
      </c>
      <c r="W3" s="631" t="n"/>
      <c r="X3" s="631" t="n"/>
      <c r="Y3" s="631" t="n"/>
      <c r="Z3" s="631" t="n"/>
      <c r="AA3" s="631" t="n"/>
    </row>
    <row r="4" ht="18.75" customHeight="1" s="683">
      <c r="B4" s="633" t="inlineStr">
        <is>
          <t>案類</t>
        </is>
      </c>
      <c r="C4" s="626" t="n"/>
      <c r="D4" s="626" t="n"/>
      <c r="E4" s="625" t="n"/>
      <c r="F4" s="633">
        <f>IF(輸入!$C$2="違反社會秩序維護法","□刑事案件■違反社會秩序維護法□違反行政法令案件","■刑事案件□違反社會秩序維護法□違反行政法令案件")</f>
        <v/>
      </c>
      <c r="G4" s="626" t="n"/>
      <c r="H4" s="626" t="n"/>
      <c r="I4" s="626" t="n"/>
      <c r="J4" s="626" t="n"/>
      <c r="K4" s="626" t="n"/>
      <c r="L4" s="626" t="n"/>
      <c r="M4" s="626" t="n"/>
      <c r="N4" s="626" t="n"/>
      <c r="O4" s="626" t="n"/>
      <c r="P4" s="626" t="n"/>
      <c r="Q4" s="626" t="n"/>
      <c r="R4" s="626" t="n"/>
      <c r="S4" s="626" t="n"/>
      <c r="T4" s="626" t="n"/>
      <c r="U4" s="626" t="n"/>
      <c r="V4" s="626" t="n"/>
      <c r="W4" s="626" t="n"/>
      <c r="X4" s="626" t="n"/>
      <c r="Y4" s="626" t="n"/>
      <c r="Z4" s="626" t="n"/>
      <c r="AA4" s="625" t="n"/>
    </row>
    <row r="5" ht="18.75" customHeight="1" s="683">
      <c r="B5" s="633" t="inlineStr">
        <is>
          <t>嫌疑人</t>
        </is>
      </c>
      <c r="C5" s="628" t="n"/>
      <c r="D5" s="628" t="n"/>
      <c r="E5" s="629" t="n"/>
      <c r="F5" s="633" t="inlineStr">
        <is>
          <t>性別</t>
        </is>
      </c>
      <c r="G5" s="629" t="n"/>
      <c r="H5" s="633" t="inlineStr">
        <is>
          <t>年齡</t>
        </is>
      </c>
      <c r="I5" s="629" t="n"/>
      <c r="J5" s="633" t="inlineStr">
        <is>
          <t>出生日期</t>
        </is>
      </c>
      <c r="K5" s="628" t="n"/>
      <c r="L5" s="628" t="n"/>
      <c r="M5" s="629" t="n"/>
      <c r="N5" s="633" t="inlineStr">
        <is>
          <t>職業</t>
        </is>
      </c>
      <c r="O5" s="629" t="n"/>
      <c r="P5" s="633" t="inlineStr">
        <is>
          <t>出生地</t>
        </is>
      </c>
      <c r="Q5" s="628" t="n"/>
      <c r="R5" s="629" t="n"/>
      <c r="S5" s="655" t="inlineStr">
        <is>
          <t xml:space="preserve">身分證
</t>
        </is>
      </c>
      <c r="T5" s="628" t="n"/>
      <c r="U5" s="628" t="n"/>
      <c r="V5" s="628" t="n"/>
      <c r="W5" s="629" t="n"/>
      <c r="X5" s="633" t="inlineStr">
        <is>
          <t>前科</t>
        </is>
      </c>
      <c r="Y5" s="628" t="n"/>
      <c r="Z5" s="628" t="n"/>
      <c r="AA5" s="629" t="n"/>
    </row>
    <row r="6" ht="18.75" customHeight="1" s="683">
      <c r="B6" s="630" t="n"/>
      <c r="C6" s="631" t="n"/>
      <c r="D6" s="631" t="n"/>
      <c r="E6" s="632" t="n"/>
      <c r="F6" s="630" t="n"/>
      <c r="G6" s="632" t="n"/>
      <c r="H6" s="630" t="n"/>
      <c r="I6" s="632" t="n"/>
      <c r="J6" s="630" t="n"/>
      <c r="K6" s="631" t="n"/>
      <c r="L6" s="631" t="n"/>
      <c r="M6" s="632" t="n"/>
      <c r="N6" s="630" t="n"/>
      <c r="O6" s="632" t="n"/>
      <c r="P6" s="630" t="n"/>
      <c r="Q6" s="631" t="n"/>
      <c r="R6" s="632" t="n"/>
      <c r="S6" s="642" t="inlineStr">
        <is>
          <t>統一編號</t>
        </is>
      </c>
      <c r="T6" s="631" t="n"/>
      <c r="U6" s="631" t="n"/>
      <c r="V6" s="631" t="n"/>
      <c r="W6" s="632" t="n"/>
      <c r="X6" s="630" t="n"/>
      <c r="Y6" s="631" t="n"/>
      <c r="Z6" s="631" t="n"/>
      <c r="AA6" s="632" t="n"/>
    </row>
    <row r="7" ht="37.5" customHeight="1" s="683">
      <c r="B7" s="624">
        <f>下拉用!$C$10</f>
        <v/>
      </c>
      <c r="C7" s="628" t="n"/>
      <c r="D7" s="628" t="n"/>
      <c r="E7" s="629" t="n"/>
      <c r="F7" s="624">
        <f>VLOOKUP($B$7,個資,11,FALSE)</f>
        <v/>
      </c>
      <c r="G7" s="625" t="n"/>
      <c r="H7" s="624">
        <f>VLOOKUP($B$7,個資,10,FALSE)</f>
        <v/>
      </c>
      <c r="I7" s="625" t="n"/>
      <c r="J7" s="656">
        <f>VLOOKUP($B$7,個資,16,FALSE)</f>
        <v/>
      </c>
      <c r="K7" s="626" t="n"/>
      <c r="L7" s="626" t="n"/>
      <c r="M7" s="625" t="n"/>
      <c r="N7" s="624">
        <f>VLOOKUP($B$7,個資,8,FALSE)</f>
        <v/>
      </c>
      <c r="O7" s="625" t="n"/>
      <c r="P7" s="624">
        <f>VLOOKUP($B$7,個資,3,FALSE)</f>
        <v/>
      </c>
      <c r="Q7" s="626" t="n"/>
      <c r="R7" s="625" t="n"/>
      <c r="S7" s="624">
        <f>UPPER(VLOOKUP($B$7,個資,2,FALSE))</f>
        <v/>
      </c>
      <c r="T7" s="626" t="n"/>
      <c r="U7" s="626" t="n"/>
      <c r="V7" s="626" t="n"/>
      <c r="W7" s="625" t="n"/>
      <c r="X7" s="624" t="inlineStr">
        <is>
          <t>如附件</t>
        </is>
      </c>
      <c r="Y7" s="626" t="n"/>
      <c r="Z7" s="626" t="n"/>
      <c r="AA7" s="625" t="n"/>
    </row>
    <row r="8" ht="37.5" customHeight="1" s="683">
      <c r="B8" s="630" t="n"/>
      <c r="C8" s="631" t="n"/>
      <c r="D8" s="631" t="n"/>
      <c r="E8" s="632" t="n"/>
      <c r="F8" s="633" t="inlineStr">
        <is>
          <t>住居所</t>
        </is>
      </c>
      <c r="G8" s="626" t="n"/>
      <c r="H8" s="626" t="n"/>
      <c r="I8" s="625" t="n"/>
      <c r="J8" s="643">
        <f>VLOOKUP($B$7,個資,6,FALSE)</f>
        <v/>
      </c>
      <c r="K8" s="626" t="n"/>
      <c r="L8" s="626" t="n"/>
      <c r="M8" s="626" t="n"/>
      <c r="N8" s="626" t="n"/>
      <c r="O8" s="626" t="n"/>
      <c r="P8" s="626" t="n"/>
      <c r="Q8" s="626" t="n"/>
      <c r="R8" s="626" t="n"/>
      <c r="S8" s="626" t="n"/>
      <c r="T8" s="626" t="n"/>
      <c r="U8" s="626" t="n"/>
      <c r="V8" s="626" t="n"/>
      <c r="W8" s="626" t="n"/>
      <c r="X8" s="626" t="n"/>
      <c r="Y8" s="626" t="n"/>
      <c r="Z8" s="626" t="n"/>
      <c r="AA8" s="625" t="n"/>
    </row>
    <row r="9" ht="18.75" customHeight="1" s="683">
      <c r="B9" s="633" t="inlineStr">
        <is>
          <t>關係人</t>
        </is>
      </c>
      <c r="C9" s="628" t="n"/>
      <c r="D9" s="628" t="n"/>
      <c r="E9" s="629" t="n"/>
      <c r="F9" s="633" t="inlineStr">
        <is>
          <t>性別</t>
        </is>
      </c>
      <c r="G9" s="629" t="n"/>
      <c r="H9" s="633" t="inlineStr">
        <is>
          <t>年齡</t>
        </is>
      </c>
      <c r="I9" s="629" t="n"/>
      <c r="J9" s="633" t="inlineStr">
        <is>
          <t>出生日期</t>
        </is>
      </c>
      <c r="K9" s="628" t="n"/>
      <c r="L9" s="628" t="n"/>
      <c r="M9" s="629" t="n"/>
      <c r="N9" s="633" t="inlineStr">
        <is>
          <t>職業</t>
        </is>
      </c>
      <c r="O9" s="629" t="n"/>
      <c r="P9" s="633" t="inlineStr">
        <is>
          <t>出生地</t>
        </is>
      </c>
      <c r="Q9" s="628" t="n"/>
      <c r="R9" s="629" t="n"/>
      <c r="S9" s="627">
        <f>CONCATENATE("身分證",CHAR(10),"統一編號")</f>
        <v/>
      </c>
      <c r="T9" s="628" t="n"/>
      <c r="U9" s="628" t="n"/>
      <c r="V9" s="628" t="n"/>
      <c r="W9" s="629" t="n"/>
      <c r="X9" s="651" t="inlineStr">
        <is>
          <t>何　　種
關　　係</t>
        </is>
      </c>
      <c r="Y9" s="628" t="n"/>
      <c r="Z9" s="628" t="n"/>
      <c r="AA9" s="629" t="n"/>
    </row>
    <row r="10" ht="18.75" customHeight="1" s="683">
      <c r="B10" s="630" t="n"/>
      <c r="C10" s="631" t="n"/>
      <c r="D10" s="631" t="n"/>
      <c r="E10" s="632" t="n"/>
      <c r="F10" s="630" t="n"/>
      <c r="G10" s="632" t="n"/>
      <c r="H10" s="630" t="n"/>
      <c r="I10" s="632" t="n"/>
      <c r="J10" s="630" t="n"/>
      <c r="K10" s="631" t="n"/>
      <c r="L10" s="631" t="n"/>
      <c r="M10" s="632" t="n"/>
      <c r="N10" s="630" t="n"/>
      <c r="O10" s="632" t="n"/>
      <c r="P10" s="630" t="n"/>
      <c r="Q10" s="631" t="n"/>
      <c r="R10" s="632" t="n"/>
      <c r="S10" s="630" t="n"/>
      <c r="T10" s="631" t="n"/>
      <c r="U10" s="631" t="n"/>
      <c r="V10" s="631" t="n"/>
      <c r="W10" s="632" t="n"/>
      <c r="X10" s="630" t="n"/>
      <c r="Y10" s="631" t="n"/>
      <c r="Z10" s="631" t="n"/>
      <c r="AA10" s="632" t="n"/>
    </row>
    <row r="11" ht="37.5" customHeight="1" s="683">
      <c r="B11" s="624">
        <f>下拉用!$C$11</f>
        <v/>
      </c>
      <c r="C11" s="628" t="n"/>
      <c r="D11" s="628" t="n"/>
      <c r="E11" s="629" t="n"/>
      <c r="F11" s="624">
        <f>IFERROR(IF($B$11="","",VLOOKUP($B$11,個資,11,FALSE)),"")</f>
        <v/>
      </c>
      <c r="G11" s="625" t="n"/>
      <c r="H11" s="624">
        <f>IFERROR(IF($B$11="","",VLOOKUP($B$11,個資,10,FALSE)),"")</f>
        <v/>
      </c>
      <c r="I11" s="625" t="n"/>
      <c r="J11" s="656">
        <f>IF($B$11="","",VLOOKUP($B$11,個資,16,FALSE))</f>
        <v/>
      </c>
      <c r="K11" s="626" t="n"/>
      <c r="L11" s="626" t="n"/>
      <c r="M11" s="625" t="n"/>
      <c r="N11" s="624">
        <f>IF($B$11="","",VLOOKUP($B$11,個資,8,FALSE))</f>
        <v/>
      </c>
      <c r="O11" s="625" t="n"/>
      <c r="P11" s="624">
        <f>IF($B$11="","",VLOOKUP($B$11,個資,3,FALSE))</f>
        <v/>
      </c>
      <c r="Q11" s="626" t="n"/>
      <c r="R11" s="625" t="n"/>
      <c r="S11" s="624">
        <f>UPPER(IF($B$11="","",VLOOKUP($B$11,個資,2,FALSE)))</f>
        <v/>
      </c>
      <c r="T11" s="626" t="n"/>
      <c r="U11" s="626" t="n"/>
      <c r="V11" s="626" t="n"/>
      <c r="W11" s="625" t="n"/>
      <c r="X11" s="624">
        <f>IF($B$11="","",VLOOKUP($B$11,個資,12,FALSE))</f>
        <v/>
      </c>
      <c r="Y11" s="626" t="n"/>
      <c r="Z11" s="626" t="n"/>
      <c r="AA11" s="625" t="n"/>
    </row>
    <row r="12" ht="37.5" customHeight="1" s="683">
      <c r="B12" s="630" t="n"/>
      <c r="C12" s="631" t="n"/>
      <c r="D12" s="631" t="n"/>
      <c r="E12" s="632" t="n"/>
      <c r="F12" s="633" t="inlineStr">
        <is>
          <t>住居所</t>
        </is>
      </c>
      <c r="G12" s="626" t="n"/>
      <c r="H12" s="626" t="n"/>
      <c r="I12" s="625" t="n"/>
      <c r="J12" s="643">
        <f>IF($B$11="","",VLOOKUP($B$11,個資,6,FALSE))</f>
        <v/>
      </c>
      <c r="K12" s="626" t="n"/>
      <c r="L12" s="626" t="n"/>
      <c r="M12" s="626" t="n"/>
      <c r="N12" s="626" t="n"/>
      <c r="O12" s="626" t="n"/>
      <c r="P12" s="626" t="n"/>
      <c r="Q12" s="626" t="n"/>
      <c r="R12" s="626" t="n"/>
      <c r="S12" s="626" t="n"/>
      <c r="T12" s="626" t="n"/>
      <c r="U12" s="626" t="n"/>
      <c r="V12" s="626" t="n"/>
      <c r="W12" s="626" t="n"/>
      <c r="X12" s="626" t="n"/>
      <c r="Y12" s="626" t="n"/>
      <c r="Z12" s="626" t="n"/>
      <c r="AA12" s="625" t="n"/>
    </row>
    <row r="13" ht="37.5" customHeight="1" s="683">
      <c r="B13" s="633" t="inlineStr">
        <is>
          <t>查獲時間</t>
        </is>
      </c>
      <c r="C13" s="626" t="n"/>
      <c r="D13" s="626" t="n"/>
      <c r="E13" s="625" t="n"/>
      <c r="F13" s="436" t="n"/>
      <c r="G13" s="1327">
        <f>IF(ISBLANK(輸入!$C$11),下拉用!$J$13,下拉用!$J$12)</f>
        <v/>
      </c>
      <c r="H13" s="626" t="n"/>
      <c r="I13" s="626" t="n"/>
      <c r="J13" s="626" t="n"/>
      <c r="K13" s="626" t="n"/>
      <c r="L13" s="626" t="n"/>
      <c r="M13" s="626" t="n"/>
      <c r="N13" s="626" t="n"/>
      <c r="O13" s="626" t="n"/>
      <c r="P13" s="626" t="n"/>
      <c r="Q13" s="626" t="n"/>
      <c r="R13" s="626" t="n"/>
      <c r="S13" s="626" t="n"/>
      <c r="T13" s="626" t="n"/>
      <c r="U13" s="626" t="n"/>
      <c r="V13" s="455" t="n"/>
      <c r="W13" s="455" t="n"/>
      <c r="X13" s="455" t="n"/>
      <c r="Y13" s="455" t="n"/>
      <c r="Z13" s="455" t="n"/>
      <c r="AA13" s="454" t="n"/>
    </row>
    <row r="14" ht="37.5" customHeight="1" s="683">
      <c r="B14" s="633" t="inlineStr">
        <is>
          <t>查獲地點</t>
        </is>
      </c>
      <c r="C14" s="626" t="n"/>
      <c r="D14" s="626" t="n"/>
      <c r="E14" s="625" t="n"/>
      <c r="F14" s="27" t="n"/>
      <c r="G14" s="640">
        <f>IF(ISBLANK(輸入!$C$13),輸入!$S$23,輸入!$C$13)</f>
        <v/>
      </c>
      <c r="H14" s="626" t="n"/>
      <c r="I14" s="626" t="n"/>
      <c r="J14" s="626" t="n"/>
      <c r="K14" s="626" t="n"/>
      <c r="L14" s="626" t="n"/>
      <c r="M14" s="626" t="n"/>
      <c r="N14" s="626" t="n"/>
      <c r="O14" s="626" t="n"/>
      <c r="P14" s="626" t="n"/>
      <c r="Q14" s="626" t="n"/>
      <c r="R14" s="626" t="n"/>
      <c r="S14" s="626" t="n"/>
      <c r="T14" s="626" t="n"/>
      <c r="U14" s="626" t="n"/>
      <c r="V14" s="626" t="n"/>
      <c r="W14" s="626" t="n"/>
      <c r="X14" s="626" t="n"/>
      <c r="Y14" s="626" t="n"/>
      <c r="Z14" s="626" t="n"/>
      <c r="AA14" s="625" t="n"/>
    </row>
    <row r="15" ht="37.5" customHeight="1" s="683">
      <c r="B15" s="633" t="inlineStr">
        <is>
          <t>觸犯法條</t>
        </is>
      </c>
      <c r="C15" s="626" t="n"/>
      <c r="D15" s="626" t="n"/>
      <c r="E15" s="625" t="n"/>
      <c r="F15" s="27" t="n"/>
      <c r="G15" s="638">
        <f>IF(輸入!$C$2="通緝",輸入!$H$2&amp;輸入!$C$2,IF(輸入!$C$2="公共危險",輸入!$C$2&amp;" (酒後駕車)",輸入!$C$2))</f>
        <v/>
      </c>
      <c r="H15" s="626" t="n"/>
      <c r="I15" s="626" t="n"/>
      <c r="J15" s="626" t="n"/>
      <c r="K15" s="626" t="n"/>
      <c r="L15" s="626" t="n"/>
      <c r="M15" s="626" t="n"/>
      <c r="N15" s="626" t="n"/>
      <c r="O15" s="626" t="n"/>
      <c r="P15" s="626" t="n"/>
      <c r="Q15" s="626" t="n"/>
      <c r="R15" s="626" t="n"/>
      <c r="S15" s="626" t="n"/>
      <c r="T15" s="626" t="n"/>
      <c r="U15" s="626" t="n"/>
      <c r="V15" s="626" t="n"/>
      <c r="W15" s="626" t="n"/>
      <c r="X15" s="626" t="n"/>
      <c r="Y15" s="626" t="n"/>
      <c r="Z15" s="626" t="n"/>
      <c r="AA15" s="625" t="n"/>
    </row>
    <row r="16" ht="166.5" customHeight="1" s="683">
      <c r="B16" s="633" t="inlineStr">
        <is>
          <t>違反事實</t>
        </is>
      </c>
      <c r="C16" s="626" t="n"/>
      <c r="D16" s="626" t="n"/>
      <c r="E16" s="625" t="n"/>
      <c r="F16" s="644">
        <f>IF(OR(輸入!$C$2="通緝",輸入!$C$2="公共危險",輸入!$C$2="毒品危害防制條例"), 輸入!$S$8,CONCATENATE(輸入!$T$2,CHAR(10),輸入!$T$4,CHAR(10),輸入!$T$6))</f>
        <v/>
      </c>
      <c r="G16" s="645" t="n"/>
      <c r="H16" s="645" t="n"/>
      <c r="I16" s="645" t="n"/>
      <c r="J16" s="645" t="n"/>
      <c r="K16" s="645" t="n"/>
      <c r="L16" s="645" t="n"/>
      <c r="M16" s="645" t="n"/>
      <c r="N16" s="645" t="n"/>
      <c r="O16" s="645" t="n"/>
      <c r="P16" s="645" t="n"/>
      <c r="Q16" s="645" t="n"/>
      <c r="R16" s="645" t="n"/>
      <c r="S16" s="645" t="n"/>
      <c r="T16" s="645" t="n"/>
      <c r="U16" s="645" t="n"/>
      <c r="V16" s="645" t="n"/>
      <c r="W16" s="645" t="n"/>
      <c r="X16" s="645" t="n"/>
      <c r="Y16" s="645" t="n"/>
      <c r="Z16" s="645" t="n"/>
      <c r="AA16" s="646" t="n"/>
    </row>
    <row r="17" ht="45" customHeight="1" s="683">
      <c r="B17" s="653" t="inlineStr">
        <is>
          <t>附送刑案</t>
        </is>
      </c>
      <c r="C17" s="628" t="n"/>
      <c r="D17" s="628" t="n"/>
      <c r="E17" s="629" t="n"/>
      <c r="F17" s="652" t="inlineStr">
        <is>
          <t xml:space="preserve">一、警詢筆錄。
二、各式附表。
              </t>
        </is>
      </c>
      <c r="G17" s="628" t="n"/>
      <c r="H17" s="628" t="n"/>
      <c r="I17" s="628" t="n"/>
      <c r="J17" s="628" t="n"/>
      <c r="K17" s="628" t="n"/>
      <c r="L17" s="628" t="n"/>
      <c r="M17" s="628" t="n"/>
      <c r="N17" s="629" t="n"/>
      <c r="O17" s="649" t="inlineStr">
        <is>
          <t>處理員警</t>
        </is>
      </c>
      <c r="P17" s="628" t="n"/>
      <c r="Q17" s="628" t="n"/>
      <c r="R17" s="629" t="n"/>
      <c r="S17" s="641">
        <f>CONCATENATE(輸入!$T$24," ",輸入!$O$8)</f>
        <v/>
      </c>
      <c r="T17" s="628" t="n"/>
      <c r="U17" s="628" t="n"/>
      <c r="V17" s="628" t="n"/>
      <c r="W17" s="628" t="n"/>
      <c r="X17" s="628" t="n"/>
      <c r="Y17" s="628" t="n"/>
      <c r="Z17" s="628" t="n"/>
      <c r="AA17" s="629" t="n"/>
    </row>
    <row r="18" ht="45" customHeight="1" s="683">
      <c r="B18" s="642" t="inlineStr">
        <is>
          <t>犯罪證據</t>
        </is>
      </c>
      <c r="C18" s="631" t="n"/>
      <c r="D18" s="631" t="n"/>
      <c r="E18" s="632" t="n"/>
      <c r="F18" s="630" t="n"/>
      <c r="G18" s="631" t="n"/>
      <c r="H18" s="631" t="n"/>
      <c r="I18" s="631" t="n"/>
      <c r="J18" s="631" t="n"/>
      <c r="K18" s="631" t="n"/>
      <c r="L18" s="631" t="n"/>
      <c r="M18" s="631" t="n"/>
      <c r="N18" s="632" t="n"/>
      <c r="O18" s="630" t="n"/>
      <c r="P18" s="631" t="n"/>
      <c r="Q18" s="631" t="n"/>
      <c r="R18" s="632" t="n"/>
      <c r="S18" s="630" t="n"/>
      <c r="T18" s="631" t="n"/>
      <c r="U18" s="631" t="n"/>
      <c r="V18" s="631" t="n"/>
      <c r="W18" s="631" t="n"/>
      <c r="X18" s="631" t="n"/>
      <c r="Y18" s="631" t="n"/>
      <c r="Z18" s="631" t="n"/>
      <c r="AA18" s="632" t="n"/>
    </row>
    <row r="19" ht="15.75" customHeight="1" s="683">
      <c r="B19" s="647" t="n"/>
      <c r="C19" s="628" t="n"/>
      <c r="D19" s="628" t="n"/>
      <c r="E19" s="628" t="n"/>
      <c r="F19" s="628" t="n"/>
      <c r="G19" s="635" t="n"/>
      <c r="H19" s="628" t="n"/>
      <c r="I19" s="628" t="n"/>
      <c r="J19" s="628" t="n"/>
      <c r="K19" s="628" t="n"/>
      <c r="L19" s="628" t="n"/>
      <c r="M19" s="628" t="n"/>
      <c r="N19" s="628" t="n"/>
      <c r="O19" s="628" t="n"/>
      <c r="P19" s="628" t="n"/>
      <c r="Q19" s="628" t="n"/>
      <c r="R19" s="628" t="n"/>
      <c r="S19" s="628" t="n"/>
      <c r="T19" s="628" t="n"/>
      <c r="U19" s="628" t="n"/>
      <c r="V19" s="628" t="n"/>
      <c r="W19" s="628" t="n"/>
      <c r="X19" s="628" t="n"/>
      <c r="Y19" s="628" t="n"/>
      <c r="Z19" s="628" t="n"/>
      <c r="AA19" s="628" t="n"/>
    </row>
    <row r="20" ht="19.5" customHeight="1" s="683">
      <c r="B20" s="654" t="n"/>
      <c r="C20" s="648" t="inlineStr">
        <is>
          <t>承辦單位主管</t>
        </is>
      </c>
      <c r="D20" s="637" t="n"/>
      <c r="E20" s="637" t="n"/>
      <c r="F20" s="637" t="n"/>
      <c r="G20" s="637" t="n"/>
      <c r="H20" s="637" t="n"/>
      <c r="I20" s="637" t="n"/>
      <c r="J20" s="26" t="n"/>
      <c r="K20" s="26" t="n"/>
      <c r="L20" s="26" t="n"/>
      <c r="M20" s="26" t="n"/>
      <c r="N20" s="26" t="n"/>
      <c r="O20" s="26" t="n"/>
      <c r="P20" s="26" t="n"/>
      <c r="Q20" s="26" t="n"/>
      <c r="R20" s="26" t="n"/>
      <c r="S20" s="26" t="n"/>
      <c r="T20" s="26" t="n"/>
      <c r="U20" s="26" t="n"/>
      <c r="V20" s="26" t="n"/>
      <c r="W20" s="26" t="n"/>
      <c r="X20" s="26" t="n"/>
      <c r="Y20" s="26" t="n"/>
      <c r="Z20" s="26" t="n"/>
      <c r="AA20" s="26" t="n"/>
    </row>
    <row r="21" ht="30" customHeight="1" s="683">
      <c r="B21" s="636" t="n"/>
      <c r="C21" s="637" t="n"/>
      <c r="D21" s="637" t="n"/>
      <c r="E21" s="637" t="n"/>
      <c r="F21" s="637" t="n"/>
      <c r="G21" s="654" t="n"/>
      <c r="H21" s="637" t="n"/>
      <c r="I21" s="637" t="n"/>
      <c r="J21" s="637" t="n"/>
      <c r="K21" s="637" t="n"/>
      <c r="L21" s="637" t="n"/>
      <c r="M21" s="637" t="n"/>
      <c r="N21" s="637" t="n"/>
      <c r="O21" s="637" t="n"/>
      <c r="P21" s="637" t="n"/>
      <c r="Q21" s="637" t="n"/>
      <c r="R21" s="637" t="n"/>
      <c r="S21" s="637" t="n"/>
      <c r="T21" s="637" t="n"/>
      <c r="U21" s="637" t="n"/>
      <c r="V21" s="637" t="n"/>
      <c r="W21" s="637" t="n"/>
      <c r="X21" s="637" t="n"/>
      <c r="Y21" s="637" t="n"/>
      <c r="Z21" s="637" t="n"/>
      <c r="AA21" s="637" t="n"/>
    </row>
  </sheetData>
  <mergeCells count="59">
    <mergeCell ref="F11:G11"/>
    <mergeCell ref="P11:R11"/>
    <mergeCell ref="S9:W10"/>
    <mergeCell ref="N11:O11"/>
    <mergeCell ref="N7:O7"/>
    <mergeCell ref="P5:R6"/>
    <mergeCell ref="J9:M10"/>
    <mergeCell ref="B15:E15"/>
    <mergeCell ref="G13:U13"/>
    <mergeCell ref="G19:AA19"/>
    <mergeCell ref="B11:E12"/>
    <mergeCell ref="F7:G7"/>
    <mergeCell ref="B21:F21"/>
    <mergeCell ref="F9:G10"/>
    <mergeCell ref="P7:R7"/>
    <mergeCell ref="N9:O10"/>
    <mergeCell ref="B4:E4"/>
    <mergeCell ref="S11:W11"/>
    <mergeCell ref="G15:AA15"/>
    <mergeCell ref="B16:E16"/>
    <mergeCell ref="S7:W7"/>
    <mergeCell ref="P9:R10"/>
    <mergeCell ref="B2:AA2"/>
    <mergeCell ref="F4:AA4"/>
    <mergeCell ref="H5:I6"/>
    <mergeCell ref="X11:AA11"/>
    <mergeCell ref="G14:AA14"/>
    <mergeCell ref="X5:AA6"/>
    <mergeCell ref="H11:I11"/>
    <mergeCell ref="S17:AA18"/>
    <mergeCell ref="B18:E18"/>
    <mergeCell ref="J12:AA12"/>
    <mergeCell ref="B9:E10"/>
    <mergeCell ref="F16:AA16"/>
    <mergeCell ref="H7:I7"/>
    <mergeCell ref="F12:I12"/>
    <mergeCell ref="B19:F19"/>
    <mergeCell ref="C20:I20"/>
    <mergeCell ref="O17:R18"/>
    <mergeCell ref="V3:AA3"/>
    <mergeCell ref="S6:W6"/>
    <mergeCell ref="X7:AA7"/>
    <mergeCell ref="X9:AA10"/>
    <mergeCell ref="B5:E6"/>
    <mergeCell ref="F17:N18"/>
    <mergeCell ref="B14:E14"/>
    <mergeCell ref="H9:I10"/>
    <mergeCell ref="J8:AA8"/>
    <mergeCell ref="B17:E17"/>
    <mergeCell ref="J5:M6"/>
    <mergeCell ref="G21:AA21"/>
    <mergeCell ref="F8:I8"/>
    <mergeCell ref="B13:E13"/>
    <mergeCell ref="S5:W5"/>
    <mergeCell ref="F5:G6"/>
    <mergeCell ref="J11:M11"/>
    <mergeCell ref="B7:E8"/>
    <mergeCell ref="J7:M7"/>
    <mergeCell ref="N5:O6"/>
  </mergeCells>
  <pageMargins left="0.5625" right="0.3543307086614174" top="0.3937007874015748" bottom="0.3937007874015748" header="0.5118110236220472" footer="0.5118110236220472"/>
  <pageSetup orientation="portrait" paperSize="9"/>
</worksheet>
</file>

<file path=xl/worksheets/sheet8.xml><?xml version="1.0" encoding="utf-8"?>
<worksheet xmlns="http://schemas.openxmlformats.org/spreadsheetml/2006/main">
  <sheetPr codeName="工作表45">
    <outlinePr summaryBelow="1" summaryRight="1"/>
    <pageSetUpPr/>
  </sheetPr>
  <dimension ref="A1:P20"/>
  <sheetViews>
    <sheetView view="pageLayout" topLeftCell="A7" zoomScaleNormal="100" workbookViewId="0">
      <selection activeCell="A3" sqref="A3:O3"/>
    </sheetView>
  </sheetViews>
  <sheetFormatPr baseColWidth="8" defaultRowHeight="20.25" customHeight="1"/>
  <cols>
    <col width="4.375" customWidth="1" style="33" min="1" max="1"/>
    <col width="5.5" customWidth="1" style="33" min="2" max="2"/>
    <col width="7" customWidth="1" style="33" min="3" max="3"/>
    <col width="4.875" customWidth="1" style="33" min="4" max="4"/>
    <col width="9" customWidth="1" style="33" min="5" max="5"/>
    <col width="5.875" customWidth="1" style="33" min="6" max="6"/>
    <col width="3" customWidth="1" style="33" min="7" max="7"/>
    <col width="4.625" customWidth="1" style="33" min="8" max="8"/>
    <col width="9" customWidth="1" style="33" min="9" max="9"/>
    <col width="5.5" customWidth="1" style="33" min="10" max="10"/>
    <col width="4" customWidth="1" style="33" min="11" max="11"/>
    <col width="5.75" customWidth="1" style="33" min="12" max="12"/>
    <col width="5.125" customWidth="1" style="33" min="13" max="13"/>
    <col width="7.75" customWidth="1" style="33" min="14" max="14"/>
    <col width="8.625" customWidth="1" style="33" min="15" max="15"/>
    <col width="14.125" customWidth="1" style="33" min="16" max="16"/>
    <col width="12.375" customWidth="1" style="33" min="17" max="17"/>
    <col width="9" customWidth="1" style="33" min="18" max="19"/>
    <col width="9" customWidth="1" style="33" min="20" max="16384"/>
  </cols>
  <sheetData>
    <row r="1" ht="37.5" customHeight="1" s="683">
      <c r="A1" s="663">
        <f>CONCATENATE(輸入!$S$18,輸入!$T$18,輸入!$S$19,輸入!$T$19,"-刑事案件調閱監視錄影畫面檢核表")</f>
        <v/>
      </c>
      <c r="B1" s="582" t="n"/>
      <c r="C1" s="582" t="n"/>
      <c r="D1" s="582" t="n"/>
      <c r="E1" s="582" t="n"/>
      <c r="F1" s="582" t="n"/>
      <c r="G1" s="582" t="n"/>
      <c r="H1" s="582" t="n"/>
      <c r="I1" s="582" t="n"/>
      <c r="J1" s="582" t="n"/>
      <c r="K1" s="582" t="n"/>
      <c r="L1" s="582" t="n"/>
      <c r="M1" s="582" t="n"/>
      <c r="N1" s="582" t="n"/>
      <c r="O1" s="583" t="n"/>
      <c r="P1" s="328" t="n"/>
    </row>
    <row r="2" ht="35.25" customHeight="1" s="683">
      <c r="A2" s="660">
        <f>CONCATENATE("案類: ",呈報單!$G$15,"案")</f>
        <v/>
      </c>
      <c r="B2" s="579" t="n"/>
      <c r="C2" s="579" t="n"/>
      <c r="D2" s="579" t="n"/>
      <c r="E2" s="579" t="n"/>
      <c r="F2" s="576" t="n"/>
      <c r="G2" s="660">
        <f>CONCATENATE("受理報案時間: ",下拉用!$J$9,"")</f>
        <v/>
      </c>
      <c r="H2" s="579" t="n"/>
      <c r="I2" s="579" t="n"/>
      <c r="J2" s="579" t="n"/>
      <c r="K2" s="579" t="n"/>
      <c r="L2" s="579" t="n"/>
      <c r="M2" s="579" t="n"/>
      <c r="N2" s="579" t="n"/>
      <c r="O2" s="576" t="n"/>
      <c r="P2" s="442" t="n"/>
    </row>
    <row r="3" ht="36.75" customHeight="1" s="683">
      <c r="A3" s="659" t="inlineStr">
        <is>
          <t>案件由所(副所)長                (簽名)指派員警             調閱</t>
        </is>
      </c>
      <c r="B3" s="579" t="n"/>
      <c r="C3" s="579" t="n"/>
      <c r="D3" s="579" t="n"/>
      <c r="E3" s="579" t="n"/>
      <c r="F3" s="579" t="n"/>
      <c r="G3" s="579" t="n"/>
      <c r="H3" s="579" t="n"/>
      <c r="I3" s="579" t="n"/>
      <c r="J3" s="579" t="n"/>
      <c r="K3" s="579" t="n"/>
      <c r="L3" s="579" t="n"/>
      <c r="M3" s="579" t="n"/>
      <c r="N3" s="579" t="n"/>
      <c r="O3" s="576" t="n"/>
      <c r="P3" s="442" t="n"/>
    </row>
    <row r="4" ht="24.75" customHeight="1" s="683">
      <c r="A4" s="657" t="inlineStr">
        <is>
          <t>研判歹徒作案時地</t>
        </is>
      </c>
      <c r="B4" s="582" t="n"/>
      <c r="C4" s="582" t="n"/>
      <c r="D4" s="583" t="n"/>
      <c r="E4" s="661">
        <f>CONCATENATE("犯案地點: ",輸入!$C$7,"")</f>
        <v/>
      </c>
      <c r="F4" s="579" t="n"/>
      <c r="G4" s="579" t="n"/>
      <c r="H4" s="579" t="n"/>
      <c r="I4" s="579" t="n"/>
      <c r="J4" s="579" t="n"/>
      <c r="K4" s="579" t="n"/>
      <c r="L4" s="579" t="n"/>
      <c r="M4" s="579" t="n"/>
      <c r="N4" s="579" t="n"/>
      <c r="O4" s="576" t="n"/>
      <c r="P4" s="329" t="n"/>
    </row>
    <row r="5" ht="28.5" customHeight="1" s="683">
      <c r="A5" s="584" t="n"/>
      <c r="B5" s="585" t="n"/>
      <c r="C5" s="585" t="n"/>
      <c r="D5" s="586" t="n"/>
      <c r="E5" s="658">
        <f>CONCATENATE("犯案時間: ",LEFT(下拉用!$J$6,13),"00分至",LEFT(下拉用!$J$6,10),MID(下拉用!$J$6,11,2),"時00分")</f>
        <v/>
      </c>
      <c r="F5" s="579" t="n"/>
      <c r="G5" s="579" t="n"/>
      <c r="H5" s="579" t="n"/>
      <c r="I5" s="579" t="n"/>
      <c r="J5" s="579" t="n"/>
      <c r="K5" s="579" t="n"/>
      <c r="L5" s="579" t="n"/>
      <c r="M5" s="579" t="n"/>
      <c r="N5" s="579" t="n"/>
      <c r="O5" s="576" t="n"/>
      <c r="P5" s="601" t="n"/>
    </row>
    <row r="6" ht="36.75" customHeight="1" s="683">
      <c r="A6" s="664" t="inlineStr">
        <is>
          <t>錄影帶調閱地點、時段、約計調閱時間長度</t>
        </is>
      </c>
      <c r="B6" s="579" t="n"/>
      <c r="C6" s="579" t="n"/>
      <c r="D6" s="579" t="n"/>
      <c r="E6" s="579" t="n"/>
      <c r="F6" s="579" t="n"/>
      <c r="G6" s="579" t="n"/>
      <c r="H6" s="579" t="n"/>
      <c r="I6" s="579" t="n"/>
      <c r="J6" s="579" t="n"/>
      <c r="K6" s="579" t="n"/>
      <c r="L6" s="579" t="n"/>
      <c r="M6" s="579" t="n"/>
      <c r="N6" s="579" t="n"/>
      <c r="O6" s="576" t="n"/>
      <c r="P6" s="442" t="n"/>
    </row>
    <row r="7" ht="18.75" customHeight="1" s="683">
      <c r="A7" s="330" t="n"/>
      <c r="B7" s="581" t="inlineStr">
        <is>
          <t>調閱地點</t>
        </is>
      </c>
      <c r="C7" s="579" t="n"/>
      <c r="D7" s="579" t="n"/>
      <c r="E7" s="579" t="n"/>
      <c r="F7" s="579" t="n"/>
      <c r="G7" s="576" t="n"/>
      <c r="H7" s="581" t="inlineStr">
        <is>
          <t>調閱時段</t>
        </is>
      </c>
      <c r="I7" s="579" t="n"/>
      <c r="J7" s="579" t="n"/>
      <c r="K7" s="579" t="n"/>
      <c r="L7" s="576" t="n"/>
      <c r="M7" s="581" t="inlineStr">
        <is>
          <t>時間長度</t>
        </is>
      </c>
      <c r="N7" s="579" t="n"/>
      <c r="O7" s="576" t="n"/>
    </row>
    <row r="8" ht="28.35" customHeight="1" s="683">
      <c r="A8" s="581" t="n">
        <v>1</v>
      </c>
      <c r="B8" s="581" t="inlineStr">
        <is>
          <t>臺北市中山區農安街28號</t>
        </is>
      </c>
      <c r="C8" s="579" t="n"/>
      <c r="D8" s="579" t="n"/>
      <c r="E8" s="579" t="n"/>
      <c r="F8" s="579" t="n"/>
      <c r="G8" s="576" t="n"/>
      <c r="H8" s="581">
        <f>CONCATENATE(,MID(輸入!$C$8,4,4),"/",MID(下拉用!$J$6,11,2),"00-",MID(輸入!$C$8,4,4),"/",MID(下拉用!$J$6,11,2),"00")</f>
        <v/>
      </c>
      <c r="I8" s="579" t="n"/>
      <c r="J8" s="579" t="n"/>
      <c r="K8" s="579" t="n"/>
      <c r="L8" s="576" t="n"/>
      <c r="M8" s="581" t="inlineStr">
        <is>
          <t>1小時</t>
        </is>
      </c>
      <c r="N8" s="579" t="n"/>
      <c r="O8" s="576" t="n"/>
    </row>
    <row r="9" ht="28.5" customHeight="1" s="683">
      <c r="A9" s="581" t="n">
        <v>2</v>
      </c>
      <c r="B9" s="616" t="n"/>
      <c r="C9" s="579" t="n"/>
      <c r="D9" s="579" t="n"/>
      <c r="E9" s="579" t="n"/>
      <c r="F9" s="579" t="n"/>
      <c r="G9" s="576" t="n"/>
      <c r="H9" s="581">
        <f>CONCATENATE(,MID(輸入!$C$8,4,4),"/",MID(下拉用!$J$6,11,2),"00-",MID(輸入!$C$8,4,4),"/",MID(下拉用!$J$6,11,2),"00")</f>
        <v/>
      </c>
      <c r="I9" s="579" t="n"/>
      <c r="J9" s="579" t="n"/>
      <c r="K9" s="579" t="n"/>
      <c r="L9" s="576" t="n"/>
      <c r="M9" s="581" t="inlineStr">
        <is>
          <t>1小時</t>
        </is>
      </c>
      <c r="N9" s="579" t="n"/>
      <c r="O9" s="576" t="n"/>
    </row>
    <row r="10" ht="28.5" customHeight="1" s="683">
      <c r="A10" s="581" t="n">
        <v>3</v>
      </c>
      <c r="B10" s="616" t="n"/>
      <c r="C10" s="579" t="n"/>
      <c r="D10" s="579" t="n"/>
      <c r="E10" s="579" t="n"/>
      <c r="F10" s="579" t="n"/>
      <c r="G10" s="576" t="n"/>
      <c r="H10" s="581">
        <f>CONCATENATE(,MID(輸入!$C$8,4,4),"/",MID(下拉用!$J$6,11,2),"00-",MID(輸入!$C$8,4,4),"/",MID(下拉用!$J$6,11,2),"00")</f>
        <v/>
      </c>
      <c r="I10" s="579" t="n"/>
      <c r="J10" s="579" t="n"/>
      <c r="K10" s="579" t="n"/>
      <c r="L10" s="576" t="n"/>
      <c r="M10" s="581" t="inlineStr">
        <is>
          <t>1小時</t>
        </is>
      </c>
      <c r="N10" s="579" t="n"/>
      <c r="O10" s="576" t="n"/>
    </row>
    <row r="11" ht="29.25" customHeight="1" s="683">
      <c r="A11" s="581" t="n">
        <v>4</v>
      </c>
      <c r="B11" s="616" t="n"/>
      <c r="C11" s="579" t="n"/>
      <c r="D11" s="579" t="n"/>
      <c r="E11" s="579" t="n"/>
      <c r="F11" s="579" t="n"/>
      <c r="G11" s="576" t="n"/>
      <c r="H11" s="581">
        <f>CONCATENATE(,MID(輸入!$C$8,4,4),"/",MID(下拉用!$J$6,11,2),"00-",MID(輸入!$C$8,4,4),"/",MID(下拉用!$J$6,11,2),"00")</f>
        <v/>
      </c>
      <c r="I11" s="579" t="n"/>
      <c r="J11" s="579" t="n"/>
      <c r="K11" s="579" t="n"/>
      <c r="L11" s="576" t="n"/>
      <c r="M11" s="581" t="inlineStr">
        <is>
          <t>1小時</t>
        </is>
      </c>
      <c r="N11" s="579" t="n"/>
      <c r="O11" s="576" t="n"/>
    </row>
    <row r="12" ht="28.5" customHeight="1" s="683">
      <c r="A12" s="581" t="n">
        <v>5</v>
      </c>
      <c r="B12" s="616" t="n"/>
      <c r="C12" s="579" t="n"/>
      <c r="D12" s="579" t="n"/>
      <c r="E12" s="579" t="n"/>
      <c r="F12" s="579" t="n"/>
      <c r="G12" s="576" t="n"/>
      <c r="H12" s="581">
        <f>CONCATENATE(,MID(輸入!$C$8,4,4),"/",MID(下拉用!$J$6,11,2),"00-",MID(輸入!$C$8,4,4),"/",MID(下拉用!$J$6,11,2),"00")</f>
        <v/>
      </c>
      <c r="I12" s="579" t="n"/>
      <c r="J12" s="579" t="n"/>
      <c r="K12" s="579" t="n"/>
      <c r="L12" s="576" t="n"/>
      <c r="M12" s="581" t="inlineStr">
        <is>
          <t>1小時</t>
        </is>
      </c>
      <c r="N12" s="579" t="n"/>
      <c r="O12" s="576" t="n"/>
    </row>
    <row r="13" ht="29.25" customHeight="1" s="683">
      <c r="A13" s="581" t="n">
        <v>6</v>
      </c>
      <c r="B13" s="616" t="n"/>
      <c r="C13" s="579" t="n"/>
      <c r="D13" s="579" t="n"/>
      <c r="E13" s="579" t="n"/>
      <c r="F13" s="579" t="n"/>
      <c r="G13" s="576" t="n"/>
      <c r="H13" s="581">
        <f>CONCATENATE(,MID(輸入!$C$8,4,4),"/",MID(下拉用!$J$6,11,2),"00-",MID(輸入!$C$8,4,4),"/",MID(下拉用!$J$6,11,2),"00")</f>
        <v/>
      </c>
      <c r="I13" s="579" t="n"/>
      <c r="J13" s="579" t="n"/>
      <c r="K13" s="579" t="n"/>
      <c r="L13" s="576" t="n"/>
      <c r="M13" s="581" t="inlineStr">
        <is>
          <t>1小時</t>
        </is>
      </c>
      <c r="N13" s="579" t="n"/>
      <c r="O13" s="576" t="n"/>
    </row>
    <row r="14" ht="29.25" customHeight="1" s="683">
      <c r="A14" s="581" t="n">
        <v>7</v>
      </c>
      <c r="B14" s="616" t="n"/>
      <c r="C14" s="579" t="n"/>
      <c r="D14" s="579" t="n"/>
      <c r="E14" s="579" t="n"/>
      <c r="F14" s="579" t="n"/>
      <c r="G14" s="576" t="n"/>
      <c r="H14" s="581">
        <f>CONCATENATE(,MID(輸入!$C$8,4,4),"/",MID(下拉用!$J$6,11,2),"00-",MID(輸入!$C$8,4,4),"/",MID(下拉用!$J$6,11,2),"00")</f>
        <v/>
      </c>
      <c r="I14" s="579" t="n"/>
      <c r="J14" s="579" t="n"/>
      <c r="K14" s="579" t="n"/>
      <c r="L14" s="576" t="n"/>
      <c r="M14" s="581" t="inlineStr">
        <is>
          <t>1小時</t>
        </is>
      </c>
      <c r="N14" s="579" t="n"/>
      <c r="O14" s="576" t="n"/>
    </row>
    <row r="15" ht="28.5" customHeight="1" s="683">
      <c r="A15" s="581" t="n">
        <v>8</v>
      </c>
      <c r="B15" s="616" t="n"/>
      <c r="C15" s="579" t="n"/>
      <c r="D15" s="579" t="n"/>
      <c r="E15" s="579" t="n"/>
      <c r="F15" s="579" t="n"/>
      <c r="G15" s="576" t="n"/>
      <c r="H15" s="581">
        <f>CONCATENATE(,MID(輸入!$C$8,4,4),"/",MID(下拉用!$J$6,11,2),"00-",MID(輸入!$C$8,4,4),"/",MID(下拉用!$J$6,11,2),"00")</f>
        <v/>
      </c>
      <c r="I15" s="579" t="n"/>
      <c r="J15" s="579" t="n"/>
      <c r="K15" s="579" t="n"/>
      <c r="L15" s="576" t="n"/>
      <c r="M15" s="581" t="inlineStr">
        <is>
          <t>1小時</t>
        </is>
      </c>
      <c r="N15" s="579" t="n"/>
      <c r="O15" s="576" t="n"/>
    </row>
    <row r="16" ht="27" customHeight="1" s="683">
      <c r="A16" s="657" t="inlineStr">
        <is>
          <t>調閱地點與案發地點相關聯:■是□否，原因調閱監視器之地點，為歹徒往、返路線</t>
        </is>
      </c>
      <c r="B16" s="579" t="n"/>
      <c r="C16" s="579" t="n"/>
      <c r="D16" s="579" t="n"/>
      <c r="E16" s="579" t="n"/>
      <c r="F16" s="579" t="n"/>
      <c r="G16" s="579" t="n"/>
      <c r="H16" s="579" t="n"/>
      <c r="I16" s="579" t="n"/>
      <c r="J16" s="579" t="n"/>
      <c r="K16" s="579" t="n"/>
      <c r="L16" s="579" t="n"/>
      <c r="M16" s="579" t="n"/>
      <c r="N16" s="579" t="n"/>
      <c r="O16" s="576" t="n"/>
    </row>
    <row r="17" ht="26.25" customHeight="1" s="683">
      <c r="A17" s="657" t="inlineStr">
        <is>
          <t xml:space="preserve">調閱時段與研判犯發時間相符、時段長度是否適宜: ■是□否，原因 調閱時段為竊嫌犯案時段              </t>
        </is>
      </c>
      <c r="B17" s="579" t="n"/>
      <c r="C17" s="579" t="n"/>
      <c r="D17" s="579" t="n"/>
      <c r="E17" s="579" t="n"/>
      <c r="F17" s="579" t="n"/>
      <c r="G17" s="579" t="n"/>
      <c r="H17" s="579" t="n"/>
      <c r="I17" s="579" t="n"/>
      <c r="J17" s="579" t="n"/>
      <c r="K17" s="579" t="n"/>
      <c r="L17" s="579" t="n"/>
      <c r="M17" s="579" t="n"/>
      <c r="N17" s="579" t="n"/>
      <c r="O17" s="576" t="n"/>
    </row>
    <row r="18" ht="21.75" customHeight="1" s="683">
      <c r="A18" s="657" t="inlineStr">
        <is>
          <t>檢視調閱內容是否有犯嫌相關影像: ■是；□否，是否有節錄及列印相關影像: ■是□否</t>
        </is>
      </c>
      <c r="B18" s="579" t="n"/>
      <c r="C18" s="579" t="n"/>
      <c r="D18" s="579" t="n"/>
      <c r="E18" s="579" t="n"/>
      <c r="F18" s="579" t="n"/>
      <c r="G18" s="579" t="n"/>
      <c r="H18" s="579" t="n"/>
      <c r="I18" s="579" t="n"/>
      <c r="J18" s="579" t="n"/>
      <c r="K18" s="579" t="n"/>
      <c r="L18" s="579" t="n"/>
      <c r="M18" s="579" t="n"/>
      <c r="N18" s="579" t="n"/>
      <c r="O18" s="576" t="n"/>
    </row>
    <row r="19" ht="27.75" customHeight="1" s="683">
      <c r="A19" s="657">
        <f>CONCATENATE("本案於案發後 ",MID(下拉用!$J$10,8,2)-MID(下拉用!$J$6,8,2)," 日調閱完畢後，由所長                   (簽名）確認後，彙送偵查隊。")</f>
        <v/>
      </c>
      <c r="B19" s="579" t="n"/>
      <c r="C19" s="579" t="n"/>
      <c r="D19" s="579" t="n"/>
      <c r="E19" s="579" t="n"/>
      <c r="F19" s="579" t="n"/>
      <c r="G19" s="579" t="n"/>
      <c r="H19" s="579" t="n"/>
      <c r="I19" s="579" t="n"/>
      <c r="J19" s="579" t="n"/>
      <c r="K19" s="579" t="n"/>
      <c r="L19" s="579" t="n"/>
      <c r="M19" s="579" t="n"/>
      <c r="N19" s="579" t="n"/>
      <c r="O19" s="576" t="n"/>
    </row>
    <row r="20" ht="144" customHeight="1" s="683">
      <c r="A20" s="662" t="inlineStr">
        <is>
          <t>本案由偵查隊             (職名章)承辦，案經復審該所調閱情形，為□相符、□不相符，為__________________________(予以退回補正)
複審完畢，接辦人員            (簽名)及小隊長           (簽名)確認審閱工作。</t>
        </is>
      </c>
      <c r="B20" s="579" t="n"/>
      <c r="C20" s="579" t="n"/>
      <c r="D20" s="579" t="n"/>
      <c r="E20" s="579" t="n"/>
      <c r="F20" s="579" t="n"/>
      <c r="G20" s="579" t="n"/>
      <c r="H20" s="579" t="n"/>
      <c r="I20" s="579" t="n"/>
      <c r="J20" s="579" t="n"/>
      <c r="K20" s="579" t="n"/>
      <c r="L20" s="579" t="n"/>
      <c r="M20" s="579" t="n"/>
      <c r="N20" s="579" t="n"/>
      <c r="O20" s="576" t="n"/>
    </row>
    <row r="21" ht="45.75" customHeight="1" s="683"/>
  </sheetData>
  <mergeCells count="40">
    <mergeCell ref="M11:O11"/>
    <mergeCell ref="A16:O16"/>
    <mergeCell ref="M10:O10"/>
    <mergeCell ref="B14:G14"/>
    <mergeCell ref="H10:L10"/>
    <mergeCell ref="B8:G8"/>
    <mergeCell ref="M13:O13"/>
    <mergeCell ref="M7:O7"/>
    <mergeCell ref="E5:O5"/>
    <mergeCell ref="B13:G13"/>
    <mergeCell ref="M12:O12"/>
    <mergeCell ref="A18:O18"/>
    <mergeCell ref="A3:O3"/>
    <mergeCell ref="M15:O15"/>
    <mergeCell ref="H9:L9"/>
    <mergeCell ref="A2:F2"/>
    <mergeCell ref="B10:G10"/>
    <mergeCell ref="E4:O4"/>
    <mergeCell ref="B9:G9"/>
    <mergeCell ref="M8:O8"/>
    <mergeCell ref="A17:O17"/>
    <mergeCell ref="B15:G15"/>
    <mergeCell ref="M14:O14"/>
    <mergeCell ref="A20:O20"/>
    <mergeCell ref="H11:L11"/>
    <mergeCell ref="H7:L7"/>
    <mergeCell ref="A19:O19"/>
    <mergeCell ref="A4:D5"/>
    <mergeCell ref="H13:L13"/>
    <mergeCell ref="B7:G7"/>
    <mergeCell ref="G2:O2"/>
    <mergeCell ref="H12:L12"/>
    <mergeCell ref="H15:L15"/>
    <mergeCell ref="M9:O9"/>
    <mergeCell ref="A1:O1"/>
    <mergeCell ref="H14:L14"/>
    <mergeCell ref="B12:G12"/>
    <mergeCell ref="A6:O6"/>
    <mergeCell ref="H8:L8"/>
    <mergeCell ref="B11:G11"/>
  </mergeCells>
  <pageMargins left="0.3937007874015748" right="0.7874015748031497" top="0.4724409448818898" bottom="0.3543307086614174" header="0.3149606299212598" footer="0.3149606299212598"/>
  <pageSetup orientation="portrait" paperSize="9"/>
</worksheet>
</file>

<file path=xl/worksheets/sheet9.xml><?xml version="1.0" encoding="utf-8"?>
<worksheet xmlns="http://schemas.openxmlformats.org/spreadsheetml/2006/main">
  <sheetPr codeName="工作表9">
    <tabColor rgb="FFFF0000"/>
    <outlinePr summaryBelow="1" summaryRight="1"/>
    <pageSetUpPr/>
  </sheetPr>
  <dimension ref="A1:V45"/>
  <sheetViews>
    <sheetView view="pageLayout" topLeftCell="A16" zoomScaleNormal="100" workbookViewId="0">
      <selection activeCell="F21" sqref="F21:U32"/>
    </sheetView>
  </sheetViews>
  <sheetFormatPr baseColWidth="8" defaultColWidth="9" defaultRowHeight="16.5"/>
  <cols>
    <col width="5.375" customWidth="1" style="593" min="1" max="1"/>
    <col width="1.625" customWidth="1" style="593" min="2" max="2"/>
    <col width="3.25" customWidth="1" style="593" min="3" max="3"/>
    <col width="3.5" customWidth="1" style="593" min="4" max="4"/>
    <col width="3.375" customWidth="1" style="593" min="5" max="5"/>
    <col width="4.625" customWidth="1" style="593" min="6" max="6"/>
    <col width="6.5" customWidth="1" style="593" min="7" max="7"/>
    <col width="5.75" customWidth="1" style="593" min="8" max="8"/>
    <col width="4.625" customWidth="1" style="593" min="9" max="9"/>
    <col width="6.125" customWidth="1" style="593" min="10" max="10"/>
    <col width="4" customWidth="1" style="593" min="11" max="11"/>
    <col width="2.375" customWidth="1" style="593" min="12" max="12"/>
    <col width="3.25" customWidth="1" style="593" min="13" max="13"/>
    <col width="2.625" customWidth="1" style="593" min="14" max="14"/>
    <col width="3" customWidth="1" style="593" min="15" max="16"/>
    <col width="2" customWidth="1" style="593" min="17" max="17"/>
    <col width="4.875" customWidth="1" style="593" min="18" max="18"/>
    <col width="4.25" customWidth="1" style="593" min="19" max="19"/>
    <col width="5" customWidth="1" style="593" min="20" max="20"/>
    <col width="2.75" customWidth="1" style="593" min="21" max="21"/>
    <col width="3.625" customWidth="1" style="593" min="22" max="22"/>
    <col width="9" customWidth="1" style="593" min="23" max="24"/>
    <col width="9" customWidth="1" style="593" min="25" max="16384"/>
  </cols>
  <sheetData>
    <row r="1" ht="14.1" customHeight="1" s="683">
      <c r="A1" s="593" t="inlineStr">
        <is>
          <t>保存年限：</t>
        </is>
      </c>
    </row>
    <row r="2" ht="5.85" customHeight="1" s="683"/>
    <row r="3" ht="14.1" customHeight="1" s="683">
      <c r="A3" s="593" t="inlineStr">
        <is>
          <t>檔    號：</t>
        </is>
      </c>
      <c r="N3" s="593">
        <f>CONCATENATE("e化案號：",word用!$U$2)</f>
        <v/>
      </c>
    </row>
    <row r="4" ht="5.85" customHeight="1" s="683" thickBot="1"/>
    <row r="5" ht="33.95" customHeight="1" s="683" thickBot="1" thickTop="1">
      <c r="A5" s="77" t="n"/>
      <c r="B5" s="78" t="n"/>
      <c r="C5" s="78" t="n"/>
      <c r="D5" s="415">
        <f>CONCATENATE(輸入!$S$18,輸入!$T$18,輸入!$S$19,輸入!$T$19,輸入!$S$20,輸入!$T$20)</f>
        <v/>
      </c>
      <c r="E5" s="415" t="n"/>
      <c r="F5" s="415" t="n"/>
      <c r="G5" s="415" t="n"/>
      <c r="H5" s="415" t="n"/>
      <c r="I5" s="415" t="n"/>
      <c r="J5" s="415" t="n"/>
      <c r="K5" s="415" t="n"/>
      <c r="L5" s="415" t="n"/>
      <c r="M5" s="415" t="n"/>
      <c r="N5" s="415" t="n"/>
      <c r="O5" s="415" t="n"/>
      <c r="P5" s="415" t="n"/>
      <c r="Q5" s="415" t="n"/>
      <c r="R5" s="415" t="n"/>
      <c r="S5" s="665" t="inlineStr">
        <is>
          <t>陳 報 單</t>
        </is>
      </c>
      <c r="T5" s="666" t="n"/>
      <c r="U5" s="666" t="n"/>
      <c r="V5" s="79" t="n"/>
    </row>
    <row r="6" ht="25.5" customHeight="1" s="683">
      <c r="A6" s="83" t="n"/>
      <c r="B6" s="671" t="inlineStr">
        <is>
          <t>陳報編號</t>
        </is>
      </c>
      <c r="C6" s="672" t="n"/>
      <c r="D6" s="672" t="n"/>
      <c r="E6" s="672" t="n"/>
      <c r="F6" s="672" t="n"/>
      <c r="G6" s="672" t="n"/>
      <c r="H6" s="672" t="n"/>
      <c r="I6" s="672" t="n"/>
      <c r="J6" s="82" t="n"/>
      <c r="K6" s="85" t="n"/>
      <c r="L6" s="414" t="n"/>
      <c r="M6" s="671" t="inlineStr">
        <is>
          <t>陳報日期</t>
        </is>
      </c>
      <c r="N6" s="672" t="n"/>
      <c r="O6" s="672" t="n"/>
      <c r="P6" s="672" t="n"/>
      <c r="Q6" s="672" t="n"/>
      <c r="R6" s="672" t="n"/>
      <c r="S6" s="672" t="n"/>
      <c r="T6" s="672" t="n"/>
      <c r="U6" s="414" t="n"/>
      <c r="V6" s="86" t="n"/>
    </row>
    <row r="7" ht="18.75" customHeight="1" s="683">
      <c r="A7" s="72" t="n"/>
      <c r="B7" s="673" t="inlineStr">
        <is>
          <t xml:space="preserve">                      字
第                    號</t>
        </is>
      </c>
      <c r="C7" s="582" t="n"/>
      <c r="D7" s="582" t="n"/>
      <c r="E7" s="582" t="n"/>
      <c r="F7" s="582" t="n"/>
      <c r="G7" s="582" t="n"/>
      <c r="H7" s="582" t="n"/>
      <c r="I7" s="582" t="n"/>
      <c r="J7" s="80" t="n"/>
      <c r="K7" s="1328">
        <f>TODAY()</f>
        <v/>
      </c>
      <c r="V7" s="668" t="n"/>
    </row>
    <row r="8" ht="24" customHeight="1" s="683" thickBot="1">
      <c r="A8" s="84" t="n"/>
      <c r="B8" s="669" t="n"/>
      <c r="C8" s="669" t="n"/>
      <c r="D8" s="669" t="n"/>
      <c r="E8" s="669" t="n"/>
      <c r="F8" s="669" t="n"/>
      <c r="G8" s="669" t="n"/>
      <c r="H8" s="669" t="n"/>
      <c r="I8" s="669" t="n"/>
      <c r="J8" s="81" t="n"/>
      <c r="K8" s="669" t="n"/>
      <c r="L8" s="669" t="n"/>
      <c r="M8" s="669" t="n"/>
      <c r="N8" s="669" t="n"/>
      <c r="O8" s="669" t="n"/>
      <c r="P8" s="669" t="n"/>
      <c r="Q8" s="669" t="n"/>
      <c r="R8" s="669" t="n"/>
      <c r="S8" s="669" t="n"/>
      <c r="T8" s="669" t="n"/>
      <c r="U8" s="669" t="n"/>
      <c r="V8" s="670" t="n"/>
    </row>
    <row r="9" ht="5.85" customHeight="1" s="683">
      <c r="A9" s="87" t="n"/>
      <c r="B9" s="88" t="n"/>
      <c r="V9" s="70" t="n"/>
    </row>
    <row r="10" ht="5.85" customHeight="1" s="683">
      <c r="A10" s="675" t="inlineStr">
        <is>
          <t>陳報內容</t>
        </is>
      </c>
      <c r="B10" s="609" t="n"/>
      <c r="V10" s="70" t="n"/>
    </row>
    <row r="11" ht="20.25" customHeight="1" s="683">
      <c r="A11" s="676" t="n"/>
      <c r="B11" s="609" t="n"/>
      <c r="D11" s="593" t="inlineStr">
        <is>
          <t>主旨：</t>
        </is>
      </c>
      <c r="F11" s="600">
        <f>CONCATENATE(,LEFT(下拉用!$J$9,10),"  ",下拉用!$D$11,"所報，",呈報單!$G$15,"案。")</f>
        <v/>
      </c>
      <c r="R11" s="51" t="n"/>
      <c r="S11" s="51" t="n"/>
      <c r="T11" s="51" t="n"/>
      <c r="U11" s="51" t="n"/>
      <c r="V11" s="416" t="n"/>
    </row>
    <row r="12" ht="14.1" customHeight="1" s="683">
      <c r="A12" s="676" t="n"/>
      <c r="B12" s="609" t="n"/>
      <c r="F12" s="51" t="n"/>
      <c r="G12" s="51" t="n"/>
      <c r="H12" s="51" t="n"/>
      <c r="I12" s="51" t="n"/>
      <c r="J12" s="51" t="n"/>
      <c r="K12" s="51" t="n"/>
      <c r="L12" s="51" t="n"/>
      <c r="M12" s="51" t="n"/>
      <c r="N12" s="51" t="n"/>
      <c r="O12" s="51" t="n"/>
      <c r="P12" s="51" t="n"/>
      <c r="Q12" s="51" t="n"/>
      <c r="R12" s="51" t="n"/>
      <c r="S12" s="51" t="n"/>
      <c r="T12" s="51" t="n"/>
      <c r="U12" s="51" t="n"/>
      <c r="V12" s="416" t="n"/>
    </row>
    <row r="13">
      <c r="A13" s="676" t="n"/>
      <c r="B13" s="609" t="n"/>
      <c r="D13" s="593" t="inlineStr">
        <is>
          <t>說明：</t>
        </is>
      </c>
      <c r="V13" s="70" t="n"/>
    </row>
    <row r="14" ht="25.5" customHeight="1" s="683">
      <c r="A14" s="676" t="n"/>
      <c r="B14" s="609" t="n"/>
      <c r="V14" s="70" t="n"/>
    </row>
    <row r="15" ht="18.75" customHeight="1" s="683">
      <c r="A15" s="676" t="n"/>
      <c r="B15" s="609" t="n"/>
      <c r="D15" s="593">
        <f>CONCATENATE("1.  發生(現)時間：",下拉用!$J$2,"")</f>
        <v/>
      </c>
      <c r="V15" s="70" t="n"/>
    </row>
    <row r="16" ht="14.25" customHeight="1" s="683">
      <c r="A16" s="676" t="n"/>
      <c r="B16" s="609" t="n"/>
      <c r="V16" s="70" t="n"/>
    </row>
    <row r="17">
      <c r="A17" s="676" t="n"/>
      <c r="B17" s="609" t="n"/>
      <c r="D17" s="593">
        <f>CONCATENATE("2.  發生(現)地點：",輸入!$C$7,"")</f>
        <v/>
      </c>
      <c r="V17" s="70" t="n"/>
    </row>
    <row r="18" ht="14.25" customHeight="1" s="683">
      <c r="A18" s="676" t="n"/>
      <c r="B18" s="609" t="n"/>
      <c r="V18" s="70" t="n"/>
    </row>
    <row r="19" ht="18.75" customHeight="1" s="683">
      <c r="A19" s="676" t="n"/>
      <c r="B19" s="609" t="n"/>
      <c r="D19" s="593" t="inlineStr">
        <is>
          <t>3.  報案內容：</t>
        </is>
      </c>
      <c r="V19" s="70" t="n"/>
    </row>
    <row r="20" ht="13.5" customHeight="1" s="683">
      <c r="A20" s="676" t="n"/>
      <c r="B20" s="609" t="n"/>
      <c r="V20" s="70" t="n"/>
    </row>
    <row r="21" ht="19.7" customHeight="1" s="683">
      <c r="A21" s="676" t="n"/>
      <c r="B21" s="609" t="n"/>
      <c r="E21" s="51" t="n"/>
      <c r="F21" s="600">
        <f>CONCATENATE("報案人稱",輸入!$C$5,)</f>
        <v/>
      </c>
      <c r="V21" s="70" t="n"/>
    </row>
    <row r="22">
      <c r="A22" s="676" t="n"/>
      <c r="B22" s="609" t="n"/>
      <c r="E22" s="51" t="n"/>
      <c r="V22" s="70" t="n"/>
    </row>
    <row r="23">
      <c r="A23" s="676" t="n"/>
      <c r="B23" s="609" t="n"/>
      <c r="E23" s="51" t="n"/>
      <c r="V23" s="70" t="n"/>
    </row>
    <row r="24">
      <c r="A24" s="676" t="n"/>
      <c r="B24" s="609" t="n"/>
      <c r="E24" s="51" t="n"/>
      <c r="V24" s="70" t="n"/>
    </row>
    <row r="25">
      <c r="A25" s="676" t="n"/>
      <c r="B25" s="609" t="n"/>
      <c r="E25" s="51" t="n"/>
      <c r="V25" s="70" t="n"/>
    </row>
    <row r="26">
      <c r="A26" s="676" t="n"/>
      <c r="B26" s="609" t="n"/>
      <c r="E26" s="51" t="n"/>
      <c r="V26" s="70" t="n"/>
    </row>
    <row r="27">
      <c r="A27" s="676" t="n"/>
      <c r="B27" s="609" t="n"/>
      <c r="V27" s="70" t="n"/>
    </row>
    <row r="28">
      <c r="A28" s="676" t="n"/>
      <c r="B28" s="609" t="n"/>
      <c r="V28" s="70" t="n"/>
    </row>
    <row r="29">
      <c r="A29" s="676" t="n"/>
      <c r="B29" s="609" t="n"/>
      <c r="V29" s="70" t="n"/>
    </row>
    <row r="30">
      <c r="A30" s="676" t="n"/>
      <c r="B30" s="609" t="n"/>
      <c r="V30" s="70" t="n"/>
    </row>
    <row r="31" ht="36" customHeight="1" s="683">
      <c r="A31" s="676" t="n"/>
      <c r="B31" s="609" t="n"/>
      <c r="V31" s="70" t="n"/>
    </row>
    <row r="32" ht="45.75" customHeight="1" s="683">
      <c r="A32" s="676" t="n"/>
      <c r="B32" s="609" t="n"/>
      <c r="V32" s="70" t="n"/>
    </row>
    <row r="33" hidden="1" ht="9.75" customHeight="1" s="683">
      <c r="A33" s="676" t="n"/>
      <c r="B33" s="609" t="n"/>
      <c r="V33" s="70" t="n"/>
    </row>
    <row r="34" ht="3.75" customHeight="1" s="683">
      <c r="A34" s="676" t="n"/>
      <c r="B34" s="609" t="n"/>
      <c r="V34" s="70" t="n"/>
    </row>
    <row r="35">
      <c r="A35" s="71" t="n"/>
      <c r="B35" s="89" t="n"/>
      <c r="D35" s="593" t="inlineStr">
        <is>
          <t>檢附：</t>
        </is>
      </c>
      <c r="V35" s="70" t="n"/>
    </row>
    <row r="36" ht="16.5" customHeight="1" s="683">
      <c r="A36" s="71" t="n"/>
      <c r="B36" s="89" t="n"/>
      <c r="D36" s="76" t="inlineStr">
        <is>
          <t>□筆錄___份、□錄音帶___卷、□受理各類案件紀錄表、□案件證明單影本、</t>
        </is>
      </c>
      <c r="V36" s="70" t="n"/>
    </row>
    <row r="37">
      <c r="A37" s="71" t="n"/>
      <c r="B37" s="89" t="n"/>
      <c r="D37" s="76" t="inlineStr">
        <is>
          <t>□刑案紀錄表、□逮捕通知書、□解送人犯報告書、□其他：_____________</t>
        </is>
      </c>
      <c r="V37" s="70" t="n"/>
    </row>
    <row r="38" ht="27" customHeight="1" s="683">
      <c r="A38" s="90" t="n"/>
      <c r="B38" s="91" t="n"/>
      <c r="N38" s="49" t="n"/>
      <c r="O38" s="49" t="n"/>
      <c r="P38" s="49" t="n"/>
      <c r="Q38" s="49" t="n"/>
      <c r="R38" s="49" t="n"/>
      <c r="S38" s="49" t="n"/>
      <c r="T38" s="49" t="n"/>
      <c r="U38" s="49" t="n"/>
      <c r="V38" s="68" t="n"/>
    </row>
    <row r="39" ht="8.449999999999999" customHeight="1" s="683">
      <c r="A39" s="69" t="n"/>
      <c r="B39" s="50" t="n"/>
      <c r="C39" s="50" t="n"/>
      <c r="D39" s="50" t="n"/>
      <c r="E39" s="50" t="n"/>
      <c r="F39" s="50" t="n"/>
      <c r="G39" s="50" t="n"/>
      <c r="H39" s="50" t="n"/>
      <c r="I39" s="50" t="n"/>
      <c r="J39" s="50" t="n"/>
      <c r="K39" s="50" t="n"/>
      <c r="L39" s="50" t="n"/>
      <c r="M39" s="50" t="n"/>
      <c r="V39" s="70" t="n"/>
    </row>
    <row r="40" ht="14.1" customHeight="1" s="683">
      <c r="A40" s="71" t="n"/>
      <c r="O40" s="593" t="inlineStr">
        <is>
          <t>謹陳</t>
        </is>
      </c>
      <c r="V40" s="70" t="n"/>
    </row>
    <row r="41" ht="4.5" customHeight="1" s="683">
      <c r="A41" s="71" t="n"/>
      <c r="V41" s="70" t="n"/>
    </row>
    <row r="42">
      <c r="A42" s="71" t="inlineStr">
        <is>
          <t xml:space="preserve"> 承辦人： </t>
        </is>
      </c>
      <c r="H42" s="674" t="inlineStr">
        <is>
          <t>主  管：</t>
        </is>
      </c>
      <c r="O42" s="593" t="inlineStr">
        <is>
          <t>主    官</t>
        </is>
      </c>
      <c r="V42" s="70" t="n"/>
    </row>
    <row r="43">
      <c r="A43" s="71" t="n"/>
      <c r="V43" s="70" t="n"/>
    </row>
    <row r="44">
      <c r="A44" s="71" t="n"/>
      <c r="V44" s="70" t="n"/>
    </row>
    <row r="45" ht="18.75" customFormat="1" customHeight="1" s="74" thickBot="1">
      <c r="A45" s="73" t="n"/>
      <c r="V45" s="75" t="n"/>
    </row>
    <row r="46" ht="17.25" customHeight="1" s="683" thickTop="1"/>
  </sheetData>
  <mergeCells count="9">
    <mergeCell ref="F11:Q11"/>
    <mergeCell ref="S5:U5"/>
    <mergeCell ref="K7:V8"/>
    <mergeCell ref="M6:T6"/>
    <mergeCell ref="B6:I6"/>
    <mergeCell ref="B7:I8"/>
    <mergeCell ref="H42:I42"/>
    <mergeCell ref="A10:B34"/>
    <mergeCell ref="F21:U32"/>
  </mergeCells>
  <pageMargins left="0.7874015748031497" right="0.7086614173228347" top="0.8661417322834646" bottom="0.7480314960629921" header="0" footer="0"/>
  <pageSetup orientation="portrait" paperSize="9"/>
</worksheet>
</file>

<file path=xl/worksheets/sheet10.xml><?xml version="1.0" encoding="utf-8"?>
<worksheet xmlns="http://schemas.openxmlformats.org/spreadsheetml/2006/main">
  <sheetPr codeName="工作表46">
    <tabColor theme="9" tint="-0.499984740745262"/>
    <outlinePr summaryBelow="1" summaryRight="1"/>
    <pageSetUpPr/>
  </sheetPr>
  <dimension ref="A1:J13"/>
  <sheetViews>
    <sheetView view="pageBreakPreview" topLeftCell="A7" zoomScale="90" zoomScaleNormal="100" zoomScaleSheetLayoutView="90" workbookViewId="0">
      <selection activeCell="D7" sqref="D7:J7"/>
    </sheetView>
  </sheetViews>
  <sheetFormatPr baseColWidth="8" defaultRowHeight="16.5"/>
  <cols>
    <col width="10.75" customWidth="1" style="683" min="2" max="2"/>
    <col width="6.75" customWidth="1" style="683" min="3" max="3"/>
    <col width="8.5" customWidth="1" style="683" min="4" max="4"/>
    <col width="12.875" customWidth="1" style="683" min="5" max="5"/>
    <col width="3.875" customWidth="1" style="683" min="6" max="6"/>
    <col width="5.5" customWidth="1" style="683" min="7" max="7"/>
    <col width="9.625" customWidth="1" style="683" min="8" max="8"/>
    <col width="13.75" customWidth="1" style="683" min="9" max="9"/>
    <col width="9.625" customWidth="1" style="683" min="10" max="10"/>
  </cols>
  <sheetData>
    <row r="1" ht="43.5" customHeight="1" s="683">
      <c r="A1" s="693">
        <f>CONCATENATE(輸入!S18,輸入!T18,輸入!S19,輸入!T19,輸入!S20,"所呈報單")</f>
        <v/>
      </c>
    </row>
    <row r="2" ht="39" customHeight="1" s="683">
      <c r="A2" s="697" t="inlineStr">
        <is>
          <t>原文字號</t>
        </is>
      </c>
      <c r="B2" s="579" t="n"/>
      <c r="C2" s="579" t="n"/>
      <c r="D2" s="579" t="n"/>
      <c r="E2" s="576" t="n"/>
      <c r="F2" s="694" t="inlineStr">
        <is>
          <t>日期：</t>
        </is>
      </c>
      <c r="G2" s="579" t="n"/>
      <c r="H2" s="1329">
        <f>TODAY()</f>
        <v/>
      </c>
      <c r="I2" s="579" t="n"/>
      <c r="J2" s="576" t="n"/>
    </row>
    <row r="3" ht="39.75" customHeight="1" s="683">
      <c r="A3" s="692" t="inlineStr">
        <is>
          <t>年月日字第號</t>
        </is>
      </c>
      <c r="B3" s="585" t="n"/>
      <c r="C3" s="585" t="n"/>
      <c r="D3" s="585" t="n"/>
      <c r="E3" s="586" t="n"/>
      <c r="F3" s="686" t="inlineStr">
        <is>
          <t>字號：</t>
        </is>
      </c>
      <c r="G3" s="585" t="n"/>
      <c r="H3" s="691" t="inlineStr">
        <is>
          <t>北市       字第     號</t>
        </is>
      </c>
      <c r="I3" s="585" t="n"/>
      <c r="J3" s="586" t="n"/>
    </row>
    <row r="4" ht="37.5" customHeight="1" s="683">
      <c r="A4" s="702" t="inlineStr">
        <is>
          <t>事由</t>
        </is>
      </c>
      <c r="B4" s="583" t="n"/>
      <c r="C4" s="687">
        <f>CONCATENATE("偵辦",下拉用!$D$11,"所報",輸入!$C$2,"案，報請協助調閱相關文件乙案。")</f>
        <v/>
      </c>
      <c r="D4" s="579" t="n"/>
      <c r="E4" s="579" t="n"/>
      <c r="F4" s="579" t="n"/>
      <c r="G4" s="579" t="n"/>
      <c r="H4" s="579" t="n"/>
      <c r="I4" s="579" t="n"/>
      <c r="J4" s="576" t="n"/>
    </row>
    <row r="5" ht="49.5" customHeight="1" s="683">
      <c r="A5" s="700" t="inlineStr">
        <is>
          <t>呈報內容</t>
        </is>
      </c>
      <c r="B5" s="583" t="n"/>
      <c r="C5" s="437" t="inlineStr">
        <is>
          <t>一、</t>
        </is>
      </c>
      <c r="D5" s="685">
        <f>CONCATENATE("本所於",下拉用!$J$9,"受理",下拉用!$D$11,"所報",呈報單!$G$15,"案(",輸入!$C$12,")。")</f>
        <v/>
      </c>
      <c r="E5" s="582" t="n"/>
      <c r="F5" s="582" t="n"/>
      <c r="G5" s="582" t="n"/>
      <c r="H5" s="582" t="n"/>
      <c r="I5" s="582" t="n"/>
      <c r="J5" s="583" t="n"/>
    </row>
    <row r="6" ht="129" customHeight="1" s="683">
      <c r="A6" s="607" t="n"/>
      <c r="B6" s="609" t="n"/>
      <c r="C6" s="341" t="inlineStr">
        <is>
          <t>二、</t>
        </is>
      </c>
      <c r="D6" s="699">
        <f>HLOOKUP(輸入!$H$14,調閱用!$1:$1048576,11,FALSE)</f>
        <v/>
      </c>
      <c r="J6" s="609" t="n"/>
    </row>
    <row r="7" ht="89.25" customHeight="1" s="683">
      <c r="A7" s="607" t="n"/>
      <c r="B7" s="609" t="n"/>
      <c r="C7" s="341" t="inlineStr">
        <is>
          <t>三、</t>
        </is>
      </c>
      <c r="D7" s="699">
        <f>HLOOKUP(輸入!$H$14,調閱用!$1:$1048576,12,FALSE)</f>
        <v/>
      </c>
      <c r="J7" s="609" t="n"/>
    </row>
    <row r="8" ht="24" customHeight="1" s="683">
      <c r="A8" s="607" t="n"/>
      <c r="B8" s="609" t="n"/>
      <c r="C8" s="341" t="inlineStr">
        <is>
          <t>四、</t>
        </is>
      </c>
      <c r="D8" s="682" t="inlineStr">
        <is>
          <t>檢附相關刑案影像，請 鑒核。</t>
        </is>
      </c>
      <c r="J8" s="609" t="n"/>
    </row>
    <row r="9" ht="67.5" customHeight="1" s="683" thickBot="1">
      <c r="A9" s="701" t="n"/>
      <c r="B9" s="679" t="n"/>
      <c r="C9" s="708" t="inlineStr">
        <is>
          <t>五、</t>
        </is>
      </c>
      <c r="D9" s="677">
        <f>CONCATENATE("承 辦 人：",輸入!$T$24,輸入!$O$8,
,CHAR(10),"公務信箱：",輸入!$S$25,
,CHAR(10),"公務電話：",輸入!$T$21)</f>
        <v/>
      </c>
      <c r="E9" s="678" t="n"/>
      <c r="F9" s="678" t="n"/>
      <c r="G9" s="678" t="n"/>
      <c r="H9" s="678" t="n"/>
      <c r="I9" s="678" t="n"/>
      <c r="J9" s="679" t="n"/>
    </row>
    <row r="10" ht="63" customHeight="1" s="683" thickTop="1">
      <c r="A10" s="703" t="inlineStr">
        <is>
          <t>承辦單位</t>
        </is>
      </c>
      <c r="B10" s="690" t="n"/>
      <c r="C10" s="688">
        <f>CONCATENATE(輸入!$S$18,輸入!$T$18,輸入!$S$19,輸入!$T$19,輸入!$S$20,輸入!$T$20)</f>
        <v/>
      </c>
      <c r="D10" s="689" t="n"/>
      <c r="E10" s="689" t="n"/>
      <c r="F10" s="689" t="n"/>
      <c r="G10" s="689" t="n"/>
      <c r="H10" s="689" t="n"/>
      <c r="I10" s="689" t="n"/>
      <c r="J10" s="690" t="n"/>
    </row>
    <row r="11" ht="68.25" customHeight="1" s="683">
      <c r="A11" s="680" t="inlineStr">
        <is>
          <t>呈報單位</t>
        </is>
      </c>
      <c r="B11" s="681" t="n"/>
      <c r="C11" s="698">
        <f>CONCATENATE(輸入!$S$18,輸入!$T$18,輸入!$S$19,輸入!$T$19,"偵查隊")</f>
        <v/>
      </c>
      <c r="D11" s="696" t="n"/>
      <c r="E11" s="696" t="n"/>
      <c r="F11" s="696" t="n"/>
      <c r="G11" s="696" t="n"/>
      <c r="H11" s="696" t="n"/>
      <c r="I11" s="696" t="n"/>
      <c r="J11" s="681" t="n"/>
    </row>
    <row r="12" ht="63" customHeight="1" s="683">
      <c r="A12" s="680" t="inlineStr">
        <is>
          <t>會辦單位</t>
        </is>
      </c>
      <c r="B12" s="681" t="n"/>
      <c r="C12" s="695" t="n"/>
      <c r="D12" s="696" t="n"/>
      <c r="E12" s="696" t="n"/>
      <c r="F12" s="696" t="n"/>
      <c r="G12" s="696" t="n"/>
      <c r="H12" s="696" t="n"/>
      <c r="I12" s="696" t="n"/>
      <c r="J12" s="681" t="n"/>
    </row>
    <row r="13" ht="67.5" customHeight="1" s="683">
      <c r="A13" s="680" t="inlineStr">
        <is>
          <t>批示</t>
        </is>
      </c>
      <c r="B13" s="681" t="n"/>
      <c r="C13" s="695" t="n"/>
      <c r="D13" s="696" t="n"/>
      <c r="E13" s="696" t="n"/>
      <c r="F13" s="696" t="n"/>
      <c r="G13" s="696" t="n"/>
      <c r="H13" s="696" t="n"/>
      <c r="I13" s="696" t="n"/>
      <c r="J13" s="681" t="n"/>
    </row>
  </sheetData>
  <mergeCells count="23">
    <mergeCell ref="D9:J9"/>
    <mergeCell ref="A11:B11"/>
    <mergeCell ref="D8:J8"/>
    <mergeCell ref="H2:J2"/>
    <mergeCell ref="D5:J5"/>
    <mergeCell ref="F3:G3"/>
    <mergeCell ref="C4:J4"/>
    <mergeCell ref="C10:J10"/>
    <mergeCell ref="H3:J3"/>
    <mergeCell ref="A3:E3"/>
    <mergeCell ref="A12:B12"/>
    <mergeCell ref="A1:J1"/>
    <mergeCell ref="F2:G2"/>
    <mergeCell ref="C12:J12"/>
    <mergeCell ref="A2:E2"/>
    <mergeCell ref="C11:J11"/>
    <mergeCell ref="D6:J6"/>
    <mergeCell ref="A5:B9"/>
    <mergeCell ref="A4:B4"/>
    <mergeCell ref="D7:J7"/>
    <mergeCell ref="A10:B10"/>
    <mergeCell ref="A13:B13"/>
    <mergeCell ref="C13:J13"/>
  </mergeCells>
  <printOptions horizontalCentered="1" verticalCentered="1"/>
  <pageMargins left="0.5905511811023623" right="0.5905511811023623" top="0.7874015748031497" bottom="0.5905511811023623" header="0.5905511811023623" footer="0.6889763779527559"/>
  <pageSetup orientation="portrait" paperSize="9"/>
</worksheet>
</file>

<file path=xl/worksheets/sheet11.xml><?xml version="1.0" encoding="utf-8"?>
<worksheet xmlns="http://schemas.openxmlformats.org/spreadsheetml/2006/main">
  <sheetPr codeName="工作表26">
    <tabColor rgb="FFFF0000"/>
    <outlinePr summaryBelow="1" summaryRight="1"/>
    <pageSetUpPr/>
  </sheetPr>
  <dimension ref="A2:AC37"/>
  <sheetViews>
    <sheetView showGridLines="0" showZeros="0" view="pageBreakPreview" topLeftCell="A16" zoomScale="80" zoomScaleNormal="100" zoomScaleSheetLayoutView="80" workbookViewId="0">
      <selection activeCell="Q7" sqref="Q7"/>
    </sheetView>
  </sheetViews>
  <sheetFormatPr baseColWidth="8" defaultRowHeight="16.5"/>
  <cols>
    <col width="2.25" customWidth="1" style="593" min="1" max="1"/>
    <col width="1.5" customWidth="1" style="593" min="2" max="3"/>
    <col width="2.5" customWidth="1" style="593" min="4" max="4"/>
    <col width="2.875" customWidth="1" style="593" min="5" max="6"/>
    <col width="2.125" customWidth="1" style="593" min="7" max="7"/>
    <col width="3.125" customWidth="1" style="593" min="8" max="38"/>
    <col width="9" customWidth="1" style="593" min="39" max="40"/>
    <col width="9" customWidth="1" style="593" min="41" max="16384"/>
  </cols>
  <sheetData>
    <row r="1" ht="8.25" customHeight="1" s="683"/>
    <row r="2" ht="15" customHeight="1" s="683">
      <c r="T2" s="593" t="inlineStr">
        <is>
          <t>檔    號：</t>
        </is>
      </c>
    </row>
    <row r="3" ht="19.5" customHeight="1" s="683">
      <c r="A3" s="313" t="n"/>
      <c r="B3" s="314" t="n"/>
      <c r="R3" s="5" t="n"/>
      <c r="T3" s="593" t="inlineStr">
        <is>
          <t>保存年限：</t>
        </is>
      </c>
      <c r="W3" s="1291" t="n"/>
      <c r="X3" s="1291" t="n"/>
      <c r="Y3" s="1291" t="n"/>
      <c r="Z3" s="1291" t="n"/>
      <c r="AA3" s="1291" t="n"/>
      <c r="AB3" s="1291" t="n"/>
    </row>
    <row r="4" ht="27.75" customHeight="1" s="683">
      <c r="A4" s="313" t="n"/>
      <c r="B4" s="711">
        <f>CONCATENATE(輸入!$S$18,輸入!$T$18,輸入!$S$19,輸入!$T$19,輸入!$S$20,輸入!$T$20)</f>
        <v/>
      </c>
    </row>
    <row r="5" ht="12" customHeight="1" s="683">
      <c r="A5" s="313" t="n"/>
      <c r="B5" s="314" t="n"/>
      <c r="F5" s="315" t="n"/>
    </row>
    <row r="6" ht="21" customHeight="1" s="683">
      <c r="A6" s="313" t="n"/>
      <c r="B6" s="314" t="n"/>
      <c r="D6" s="1291" t="n"/>
      <c r="E6" s="1291" t="n"/>
      <c r="F6" s="1291" t="n"/>
      <c r="G6" s="1291" t="n"/>
      <c r="H6" s="1291" t="n"/>
      <c r="I6" s="1291" t="n"/>
      <c r="J6" s="1291" t="n"/>
      <c r="K6" s="1291" t="n"/>
      <c r="L6" s="1291" t="n"/>
      <c r="M6" s="1291" t="n"/>
      <c r="N6" s="1291" t="n"/>
      <c r="O6" s="1291" t="n"/>
      <c r="Q6" s="316">
        <f>CONCATENATE("機關地址：",輸入!$S$23,"")</f>
        <v/>
      </c>
      <c r="R6" s="316" t="n"/>
      <c r="S6" s="316" t="n"/>
      <c r="T6" s="316" t="n"/>
      <c r="U6" s="316" t="n"/>
      <c r="V6" s="317" t="n"/>
      <c r="W6" s="317" t="n"/>
      <c r="X6" s="317" t="n"/>
      <c r="Y6" s="317" t="n"/>
      <c r="Z6" s="317" t="n"/>
      <c r="AA6" s="317" t="n"/>
      <c r="AB6" s="317" t="n"/>
      <c r="AC6" s="316" t="n"/>
    </row>
    <row r="7" ht="18.75" customHeight="1" s="683">
      <c r="A7" s="313" t="n"/>
      <c r="B7" s="314" t="n"/>
      <c r="D7" s="1291" t="n"/>
      <c r="E7" s="1291" t="n"/>
      <c r="F7" s="1291" t="n"/>
      <c r="G7" s="1291" t="n"/>
      <c r="H7" s="1291" t="n"/>
      <c r="I7" s="1291" t="n"/>
      <c r="J7" s="1291" t="n"/>
      <c r="K7" s="1291" t="n"/>
      <c r="L7" s="1291" t="n"/>
      <c r="M7" s="1291" t="n"/>
      <c r="N7" s="1291" t="n"/>
      <c r="O7" s="1291" t="n"/>
      <c r="Q7" s="317">
        <f>CONCATENATE("聯絡人：  ",輸入!$T$24&amp;輸入!$O$8,"")</f>
        <v/>
      </c>
      <c r="R7" s="317" t="n"/>
      <c r="S7" s="317" t="n"/>
      <c r="T7" s="316" t="n"/>
      <c r="U7" s="317" t="n"/>
      <c r="V7" s="317" t="n"/>
      <c r="W7" s="317" t="n"/>
      <c r="X7" s="317" t="n"/>
      <c r="Y7" s="317" t="n"/>
      <c r="Z7" s="317" t="n"/>
      <c r="AA7" s="317" t="n"/>
      <c r="AB7" s="317" t="n"/>
      <c r="AC7" s="316" t="n"/>
    </row>
    <row r="8" ht="18.75" customHeight="1" s="683">
      <c r="A8" s="313" t="n"/>
      <c r="B8" s="314" t="n"/>
      <c r="D8" s="1291" t="n"/>
      <c r="E8" s="1291" t="n"/>
      <c r="F8" s="1291" t="n"/>
      <c r="G8" s="1291" t="n"/>
      <c r="H8" s="1291" t="n"/>
      <c r="I8" s="1291" t="n"/>
      <c r="J8" s="1291" t="n"/>
      <c r="K8" s="1291" t="n"/>
      <c r="L8" s="1291" t="n"/>
      <c r="M8" s="1291" t="n"/>
      <c r="N8" s="1291" t="n"/>
      <c r="O8" s="1291" t="n"/>
      <c r="Q8" s="317">
        <f>CONCATENATE("聯絡電話：",輸入!$T$21,"")</f>
        <v/>
      </c>
      <c r="R8" s="317" t="n"/>
      <c r="S8" s="317" t="n"/>
      <c r="T8" s="317" t="n"/>
      <c r="U8" s="316" t="n"/>
      <c r="V8" s="317" t="n"/>
      <c r="W8" s="317" t="n"/>
      <c r="X8" s="317" t="n"/>
      <c r="Y8" s="317" t="n"/>
      <c r="Z8" s="317" t="n"/>
      <c r="AA8" s="317" t="n"/>
      <c r="AB8" s="317" t="n"/>
      <c r="AC8" s="316" t="n"/>
    </row>
    <row r="9" ht="18.75" customHeight="1" s="683">
      <c r="A9" s="313" t="n"/>
      <c r="B9" s="314" t="n"/>
      <c r="D9" s="1291" t="n"/>
      <c r="E9" s="1291" t="n"/>
      <c r="F9" s="1291" t="n"/>
      <c r="G9" s="1291" t="n"/>
      <c r="H9" s="1291" t="n"/>
      <c r="I9" s="1291" t="n"/>
      <c r="J9" s="1291" t="n"/>
      <c r="K9" s="1291" t="n"/>
      <c r="L9" s="1291" t="n"/>
      <c r="M9" s="1291" t="n"/>
      <c r="N9" s="1291" t="n"/>
      <c r="O9" s="1291" t="n"/>
      <c r="Q9" s="317" t="inlineStr">
        <is>
          <t>電子信箱：</t>
        </is>
      </c>
      <c r="R9" s="317" t="n"/>
      <c r="S9" s="317" t="n"/>
      <c r="T9" s="317">
        <f>輸入!$S$25</f>
        <v/>
      </c>
      <c r="U9" s="316" t="n"/>
      <c r="V9" s="317" t="n"/>
      <c r="W9" s="317" t="n"/>
      <c r="X9" s="317" t="n"/>
      <c r="Y9" s="317" t="n"/>
      <c r="Z9" s="317" t="n"/>
      <c r="AA9" s="317" t="n"/>
      <c r="AB9" s="317" t="n"/>
      <c r="AC9" s="316" t="n"/>
    </row>
    <row r="10" ht="20.25" customHeight="1" s="683">
      <c r="A10" s="313" t="n"/>
      <c r="B10" s="314" t="n"/>
      <c r="D10" s="1291" t="n"/>
      <c r="E10" s="1291" t="n"/>
      <c r="F10" s="1291" t="n"/>
      <c r="G10" s="1291" t="n"/>
      <c r="H10" s="1291" t="n"/>
      <c r="I10" s="1291" t="n"/>
      <c r="J10" s="1291" t="n"/>
      <c r="K10" s="1291" t="n"/>
      <c r="L10" s="1291" t="n"/>
      <c r="M10" s="1291" t="n"/>
      <c r="N10" s="1291" t="n"/>
      <c r="O10" s="1291" t="n"/>
      <c r="P10" s="1291" t="n"/>
      <c r="AA10" s="317" t="n"/>
      <c r="AB10" s="1291" t="n"/>
    </row>
    <row r="11" ht="20.25" customHeight="1" s="683">
      <c r="A11" s="313" t="n"/>
      <c r="B11" s="314" t="n"/>
      <c r="D11" s="608">
        <f>輸入!$C$7</f>
        <v/>
      </c>
      <c r="E11" s="1291" t="n"/>
      <c r="F11" s="1291" t="n"/>
      <c r="G11" s="1291" t="n"/>
      <c r="H11" s="1291" t="n"/>
      <c r="I11" s="1291" t="n"/>
      <c r="J11" s="1291" t="n"/>
      <c r="K11" s="1291" t="n"/>
      <c r="L11" s="1291" t="n"/>
      <c r="M11" s="1291" t="n"/>
      <c r="N11" s="1291" t="n"/>
      <c r="O11" s="1291" t="n"/>
      <c r="P11" s="1291" t="n"/>
      <c r="AA11" s="317" t="n"/>
      <c r="AB11" s="1291" t="n"/>
    </row>
    <row r="12" ht="26.25" customHeight="1" s="683">
      <c r="A12" s="313" t="n"/>
      <c r="B12" s="314" t="n"/>
      <c r="D12" s="925" t="inlineStr">
        <is>
          <t>受文者：</t>
        </is>
      </c>
      <c r="E12" s="1166" t="n"/>
      <c r="F12" s="1166" t="n"/>
      <c r="G12" s="1166" t="n"/>
      <c r="H12" s="1166" t="inlineStr">
        <is>
          <t>如正副行文單位</t>
        </is>
      </c>
      <c r="I12" s="1166" t="n"/>
      <c r="J12" s="1166" t="n"/>
      <c r="K12" s="1166" t="n"/>
      <c r="L12" s="1166" t="n"/>
      <c r="AA12" s="317" t="n"/>
    </row>
    <row r="13" ht="18.75" customHeight="1" s="683">
      <c r="A13" s="313" t="n"/>
      <c r="B13" s="314" t="n"/>
      <c r="D13" s="593" t="inlineStr">
        <is>
          <t>發文日期：</t>
        </is>
      </c>
      <c r="H13" s="1330">
        <f>TODAY()</f>
        <v/>
      </c>
      <c r="Q13" s="1331" t="n"/>
      <c r="AA13" s="317" t="n"/>
    </row>
    <row r="14" ht="18" customHeight="1" s="683">
      <c r="A14" s="313" t="n"/>
      <c r="B14" s="314" t="n"/>
      <c r="D14" s="593" t="inlineStr">
        <is>
          <t>發文字號：</t>
        </is>
      </c>
      <c r="H14" s="593">
        <f>CONCATENATE(,輸入!$S$19,LEFT(輸入!$S$20,1),"字第",輸入!$C$10,"號")</f>
        <v/>
      </c>
    </row>
    <row r="15" ht="18.75" customHeight="1" s="683">
      <c r="A15" s="706" t="inlineStr">
        <is>
          <t>裝</t>
        </is>
      </c>
      <c r="B15" s="707" t="n"/>
      <c r="D15" s="593" t="inlineStr">
        <is>
          <t>速別：</t>
        </is>
      </c>
      <c r="H15" s="593" t="inlineStr">
        <is>
          <t>最速件</t>
        </is>
      </c>
    </row>
    <row r="16" ht="16.5" customHeight="1" s="683">
      <c r="A16" s="313" t="n"/>
      <c r="B16" s="314" t="n"/>
      <c r="D16" s="704" t="inlineStr">
        <is>
          <t>密等及解密條件或保密期限：</t>
        </is>
      </c>
    </row>
    <row r="17" ht="17.25" customHeight="1" s="683">
      <c r="A17" s="313" t="n"/>
      <c r="B17" s="314" t="n"/>
      <c r="D17" s="593" t="inlineStr">
        <is>
          <t>附件：</t>
        </is>
      </c>
      <c r="Q17" s="1291" t="n"/>
      <c r="R17" s="1291" t="n"/>
      <c r="S17" s="1291" t="n"/>
      <c r="T17" s="1291" t="n"/>
      <c r="U17" s="1291" t="n"/>
      <c r="V17" s="1291" t="n"/>
      <c r="W17" s="1291" t="n"/>
      <c r="X17" s="1291" t="n"/>
      <c r="Y17" s="1291" t="n"/>
      <c r="Z17" s="1291" t="n"/>
      <c r="AA17" s="1291" t="n"/>
    </row>
    <row r="18" ht="24" customHeight="1" s="683">
      <c r="A18" s="313" t="n"/>
      <c r="B18" s="314" t="n"/>
    </row>
    <row r="19" ht="46.5" customHeight="1" s="683">
      <c r="A19" s="313" t="n"/>
      <c r="B19" s="314" t="n"/>
      <c r="D19" s="705" t="inlineStr">
        <is>
          <t>主旨：</t>
        </is>
      </c>
      <c r="G19" s="709">
        <f>CONCATENATE("為偵辦刑事案件，需調閱貴公司相關資料，惠請予協助提供，詳如說明事項，請查照。")</f>
        <v/>
      </c>
    </row>
    <row r="20" ht="24" customHeight="1" s="683">
      <c r="A20" s="313" t="n"/>
      <c r="B20" s="314" t="n"/>
      <c r="D20" s="712" t="inlineStr">
        <is>
          <t>說明：</t>
        </is>
      </c>
    </row>
    <row r="21" ht="46.5" customHeight="1" s="683">
      <c r="A21" s="313" t="n"/>
      <c r="B21" s="314" t="n"/>
      <c r="D21" s="318" t="n"/>
      <c r="E21" s="708" t="inlineStr">
        <is>
          <t>一、</t>
        </is>
      </c>
      <c r="G21" s="709" t="inlineStr">
        <is>
          <t>依據刑事訴訟法第230、231條暨個人資料保護法第15、16、20條辦理。</t>
        </is>
      </c>
    </row>
    <row r="22" ht="82.5" customHeight="1" s="683">
      <c r="A22" s="706" t="inlineStr">
        <is>
          <t>訂</t>
        </is>
      </c>
      <c r="B22" s="707" t="n"/>
      <c r="D22" s="925" t="n"/>
      <c r="E22" s="341" t="inlineStr">
        <is>
          <t>二、</t>
        </is>
      </c>
      <c r="F22" s="1166" t="n"/>
      <c r="G22" s="709">
        <f>CONCATENATE("請惠予協助調閱  貴單位所有之監視錄影檔案或相關紀錄，調閱時間：",下拉用!$J$6,"至",下拉用!$J$7,"之",輸入!H8,"監視錄影畫面記錄等相關紀錄，俾利刑案偵辦，請  查照。")</f>
        <v/>
      </c>
      <c r="AC22" s="925" t="n"/>
    </row>
    <row r="23" ht="23.25" customHeight="1" s="683">
      <c r="A23" s="313" t="n"/>
      <c r="B23" s="314" t="n"/>
      <c r="D23" s="925">
        <f>CONCATENATE("  三、本案承辦人：警員 ",word用!$AQ$2,"，聯絡電話：",輸入!$T$21,"")</f>
        <v/>
      </c>
      <c r="E23" s="925" t="n"/>
      <c r="F23" s="925" t="n"/>
      <c r="G23" s="925" t="n"/>
      <c r="H23" s="925" t="n"/>
      <c r="I23" s="925" t="n"/>
      <c r="J23" s="925" t="n"/>
      <c r="K23" s="925" t="n"/>
      <c r="L23" s="925" t="n"/>
      <c r="M23" s="925" t="n"/>
      <c r="N23" s="925" t="n"/>
      <c r="O23" s="925" t="n"/>
      <c r="P23" s="925" t="n"/>
      <c r="AB23" s="925" t="n"/>
      <c r="AC23" s="925" t="n"/>
    </row>
    <row r="24" ht="21.75" customHeight="1" s="683">
      <c r="A24" s="313" t="n"/>
      <c r="B24" s="314" t="n"/>
      <c r="D24" s="319" t="n"/>
      <c r="E24" s="1156" t="n"/>
      <c r="F24" s="1156" t="n"/>
      <c r="G24" s="1156" t="n"/>
      <c r="H24" s="1156" t="n"/>
      <c r="I24" s="1156" t="n"/>
      <c r="J24" s="1156" t="n"/>
      <c r="K24" s="1156" t="n"/>
      <c r="L24" s="1156" t="n"/>
      <c r="M24" s="1156" t="n"/>
      <c r="N24" s="1156" t="n"/>
      <c r="O24" s="1156" t="n"/>
      <c r="P24" s="1156" t="n"/>
      <c r="Q24" s="709" t="n"/>
      <c r="R24" s="709" t="n"/>
      <c r="S24" s="709" t="n"/>
      <c r="T24" s="709" t="n"/>
      <c r="U24" s="709" t="n"/>
      <c r="V24" s="709" t="n"/>
      <c r="W24" s="709" t="n"/>
      <c r="X24" s="709" t="n"/>
      <c r="Y24" s="709" t="n"/>
      <c r="Z24" s="709" t="n"/>
      <c r="AA24" s="709" t="n"/>
      <c r="AB24" s="1156" t="n"/>
      <c r="AC24" s="1156" t="n"/>
    </row>
    <row r="25" ht="17.25" customHeight="1" s="683">
      <c r="A25" s="313" t="n"/>
      <c r="B25" s="314" t="n"/>
      <c r="D25" s="778" t="inlineStr">
        <is>
          <t>正本：監視器裝設之住家或商、店家</t>
        </is>
      </c>
      <c r="E25" s="778" t="n"/>
      <c r="F25" s="778" t="n"/>
      <c r="G25" s="778" t="n"/>
      <c r="H25" s="778" t="n"/>
      <c r="I25" s="778" t="n"/>
      <c r="J25" s="778" t="n"/>
      <c r="K25" s="778" t="n"/>
      <c r="L25" s="778" t="n"/>
      <c r="M25" s="778" t="n"/>
      <c r="N25" s="778" t="n"/>
      <c r="O25" s="778" t="n"/>
      <c r="P25" s="778" t="n"/>
      <c r="Q25" s="51" t="n"/>
      <c r="R25" s="51" t="n"/>
      <c r="S25" s="51" t="n"/>
      <c r="T25" s="51" t="n"/>
      <c r="U25" s="51" t="n"/>
      <c r="V25" s="51" t="n"/>
      <c r="W25" s="51" t="n"/>
      <c r="X25" s="51" t="n"/>
      <c r="Y25" s="51" t="n"/>
      <c r="Z25" s="51" t="n"/>
      <c r="AA25" s="51" t="n"/>
      <c r="AB25" s="778" t="n"/>
      <c r="AC25" s="778" t="n"/>
    </row>
    <row r="26" ht="12.75" customHeight="1" s="683">
      <c r="A26" s="313" t="n"/>
      <c r="B26" s="314" t="n"/>
      <c r="D26" s="778">
        <f>CONCATENATE("副本：",輸入!$S$18,輸入!$T$18,輸入!$S$19,輸入!$T$19,輸入!$S$20,輸入!$T$20)</f>
        <v/>
      </c>
      <c r="E26" s="778" t="n"/>
      <c r="F26" s="778" t="n"/>
      <c r="G26" s="778" t="n"/>
      <c r="H26" s="778" t="n"/>
      <c r="I26" s="778" t="n"/>
      <c r="J26" s="778" t="n"/>
      <c r="K26" s="778" t="n"/>
      <c r="L26" s="778" t="n"/>
      <c r="M26" s="778" t="n"/>
      <c r="N26" s="778" t="n"/>
      <c r="O26" s="778" t="n"/>
      <c r="P26" s="778" t="n"/>
      <c r="AB26" s="778" t="n"/>
      <c r="AC26" s="778" t="n"/>
    </row>
    <row r="27" ht="28.5" customHeight="1" s="683">
      <c r="A27" s="313" t="n"/>
      <c r="B27" s="314" t="n"/>
      <c r="Q27" s="709" t="n"/>
      <c r="R27" s="709" t="n"/>
      <c r="S27" s="709" t="n"/>
      <c r="T27" s="709" t="n"/>
      <c r="U27" s="709" t="n"/>
      <c r="V27" s="709" t="n"/>
      <c r="W27" s="709" t="n"/>
      <c r="X27" s="709" t="n"/>
      <c r="Y27" s="709" t="n"/>
      <c r="Z27" s="709" t="n"/>
      <c r="AA27" s="709" t="n"/>
    </row>
    <row r="28" ht="21" customHeight="1" s="683">
      <c r="B28" s="314" t="n"/>
      <c r="Q28" s="925" t="n"/>
      <c r="R28" s="925" t="n"/>
      <c r="S28" s="925" t="n"/>
      <c r="T28" s="925" t="n"/>
      <c r="U28" s="925" t="n"/>
      <c r="V28" s="925" t="n"/>
      <c r="W28" s="925" t="n"/>
      <c r="X28" s="925" t="n"/>
      <c r="Y28" s="925" t="n"/>
      <c r="Z28" s="925" t="n"/>
      <c r="AA28" s="925" t="n"/>
    </row>
    <row r="29" ht="21" customHeight="1" s="683">
      <c r="A29" s="674" t="inlineStr">
        <is>
          <t>線</t>
        </is>
      </c>
      <c r="Q29" s="925" t="n"/>
      <c r="R29" s="925" t="n"/>
      <c r="S29" s="925" t="n"/>
      <c r="T29" s="925" t="n"/>
      <c r="U29" s="925" t="n"/>
      <c r="V29" s="925" t="n"/>
      <c r="W29" s="925" t="n"/>
      <c r="X29" s="925" t="n"/>
      <c r="Y29" s="925" t="n"/>
      <c r="Z29" s="925" t="n"/>
      <c r="AA29" s="925" t="n"/>
    </row>
    <row r="30">
      <c r="B30" s="314" t="n"/>
      <c r="Q30" s="1156" t="n"/>
      <c r="R30" s="1156" t="n"/>
      <c r="S30" s="1156" t="n"/>
      <c r="T30" s="1156" t="n"/>
      <c r="U30" s="1156" t="n"/>
      <c r="V30" s="1156" t="n"/>
      <c r="W30" s="1156" t="n"/>
      <c r="X30" s="1156" t="n"/>
      <c r="Y30" s="1156" t="n"/>
      <c r="Z30" s="1156" t="n"/>
      <c r="AA30" s="1156" t="n"/>
    </row>
    <row r="31">
      <c r="B31" s="314" t="n"/>
      <c r="Q31" s="778" t="n"/>
      <c r="R31" s="778" t="n"/>
      <c r="S31" s="778" t="n"/>
      <c r="T31" s="778" t="n"/>
      <c r="U31" s="778" t="n"/>
      <c r="V31" s="778" t="n"/>
      <c r="W31" s="778" t="n"/>
      <c r="X31" s="778" t="n"/>
      <c r="Y31" s="778" t="n"/>
      <c r="Z31" s="778" t="n"/>
      <c r="AA31" s="778" t="n"/>
    </row>
    <row r="32">
      <c r="B32" s="314" t="n"/>
      <c r="Q32" s="778" t="n"/>
      <c r="R32" s="778" t="n"/>
      <c r="S32" s="778" t="n"/>
      <c r="T32" s="778" t="n"/>
      <c r="U32" s="778" t="n"/>
      <c r="V32" s="778" t="n"/>
      <c r="W32" s="778" t="n"/>
      <c r="X32" s="778" t="n"/>
      <c r="Y32" s="778" t="n"/>
      <c r="Z32" s="778" t="n"/>
      <c r="AA32" s="778" t="n"/>
    </row>
    <row r="33">
      <c r="B33" s="314" t="n"/>
    </row>
    <row r="34" ht="4.5" customHeight="1" s="683">
      <c r="B34" s="314" t="n"/>
    </row>
    <row r="35" hidden="1" s="683">
      <c r="B35" s="314" t="n"/>
    </row>
    <row r="36">
      <c r="B36" s="314" t="n"/>
    </row>
    <row r="37">
      <c r="B37" s="314" t="n"/>
    </row>
  </sheetData>
  <mergeCells count="12">
    <mergeCell ref="G19:AC19"/>
    <mergeCell ref="D16:O16"/>
    <mergeCell ref="D19:F19"/>
    <mergeCell ref="A15:B15"/>
    <mergeCell ref="G22:AB22"/>
    <mergeCell ref="H13:P13"/>
    <mergeCell ref="G21:AC21"/>
    <mergeCell ref="A29:C29"/>
    <mergeCell ref="B4:AC4"/>
    <mergeCell ref="D20:F20"/>
    <mergeCell ref="A22:B22"/>
    <mergeCell ref="E21:F21"/>
  </mergeCells>
  <pageMargins left="0.7" right="0.7" top="0.75" bottom="0.75" header="0.3" footer="0.3"/>
  <pageSetup orientation="portrait" paperSize="9" scale="98"/>
  <colBreaks count="1" manualBreakCount="1">
    <brk id="29" min="0" max="18" man="1"/>
  </colBreaks>
</worksheet>
</file>

<file path=xl/worksheets/sheet12.xml><?xml version="1.0" encoding="utf-8"?>
<worksheet xmlns="http://schemas.openxmlformats.org/spreadsheetml/2006/main">
  <sheetPr codeName="工作表3">
    <tabColor rgb="FFFF0000"/>
    <outlinePr summaryBelow="1" summaryRight="1"/>
    <pageSetUpPr/>
  </sheetPr>
  <dimension ref="B1:J23"/>
  <sheetViews>
    <sheetView showGridLines="0" view="pageBreakPreview" topLeftCell="A13" zoomScale="115" zoomScaleNormal="100" zoomScaleSheetLayoutView="115" workbookViewId="0">
      <selection activeCell="F22" sqref="F22"/>
    </sheetView>
  </sheetViews>
  <sheetFormatPr baseColWidth="8" defaultRowHeight="16.5"/>
  <cols>
    <col width="3.25" customWidth="1" style="683" min="1" max="1"/>
    <col width="5.625" customWidth="1" style="683" min="2" max="2"/>
    <col width="12.125" customWidth="1" style="683" min="3" max="3"/>
    <col width="10.25" customWidth="1" style="683" min="5" max="9"/>
  </cols>
  <sheetData>
    <row r="1" ht="39" customHeight="1" s="683">
      <c r="B1" s="714">
        <f>word用!$H$2</f>
        <v/>
      </c>
      <c r="C1" s="637" t="n"/>
      <c r="D1" s="11">
        <f>IF(word用!$R$2="男","先生","女士")</f>
        <v/>
      </c>
      <c r="E1" s="6" t="n"/>
      <c r="F1" s="6" t="n"/>
      <c r="G1" s="6" t="n"/>
      <c r="H1" s="6" t="n"/>
      <c r="I1" s="6" t="n"/>
    </row>
    <row r="2" ht="4.5" customHeight="1" s="683">
      <c r="B2" s="714" t="n"/>
      <c r="C2" s="637" t="n"/>
      <c r="D2" s="11" t="n"/>
      <c r="E2" s="6" t="n"/>
      <c r="F2" s="6" t="n"/>
      <c r="G2" s="6" t="n"/>
      <c r="H2" s="6" t="n"/>
      <c r="I2" s="6" t="n"/>
    </row>
    <row r="3" ht="33.75" customHeight="1" s="683">
      <c r="B3" s="715">
        <f>CONCATENATE("台端因為涉嫌 ",呈報單!$G$15," 罪名，必須接受偵訊，在接受偵訊時可以行使下列權利：")</f>
        <v/>
      </c>
      <c r="C3" s="637" t="n"/>
      <c r="D3" s="637" t="n"/>
      <c r="E3" s="637" t="n"/>
      <c r="F3" s="637" t="n"/>
      <c r="G3" s="637" t="n"/>
      <c r="H3" s="637" t="n"/>
      <c r="I3" s="637" t="n"/>
      <c r="J3" s="13" t="n"/>
    </row>
    <row r="4" ht="33.75" customHeight="1" s="683">
      <c r="B4" s="637" t="n"/>
      <c r="C4" s="637" t="n"/>
      <c r="D4" s="637" t="n"/>
      <c r="E4" s="637" t="n"/>
      <c r="F4" s="637" t="n"/>
      <c r="G4" s="637" t="n"/>
      <c r="H4" s="637" t="n"/>
      <c r="I4" s="637" t="n"/>
      <c r="J4" s="13" t="n"/>
    </row>
    <row r="5" ht="7.5" customHeight="1" s="683">
      <c r="B5" s="715" t="n"/>
      <c r="C5" s="715" t="n"/>
      <c r="D5" s="715" t="n"/>
      <c r="E5" s="715" t="n"/>
      <c r="F5" s="715" t="n"/>
      <c r="G5" s="715" t="n"/>
      <c r="H5" s="715" t="n"/>
      <c r="I5" s="715" t="n"/>
      <c r="J5" s="13" t="n"/>
    </row>
    <row r="6" ht="42" customHeight="1" s="683">
      <c r="B6" s="11" t="inlineStr">
        <is>
          <t>一、</t>
        </is>
      </c>
      <c r="C6" s="716" t="inlineStr">
        <is>
          <t>犯罪嫌疑及所犯所有罪名。罪名經告知後，認為應</t>
        </is>
      </c>
      <c r="D6" s="637" t="n"/>
      <c r="E6" s="637" t="n"/>
      <c r="F6" s="637" t="n"/>
      <c r="G6" s="637" t="n"/>
      <c r="H6" s="637" t="n"/>
      <c r="I6" s="637" t="n"/>
    </row>
    <row r="7" ht="42" customHeight="1" s="683">
      <c r="B7" s="12" t="n"/>
      <c r="C7" s="716" t="inlineStr">
        <is>
          <t>變更者，應再告知。</t>
        </is>
      </c>
      <c r="D7" s="637" t="n"/>
      <c r="E7" s="637" t="n"/>
      <c r="F7" s="637" t="n"/>
      <c r="G7" s="637" t="n"/>
      <c r="H7" s="637" t="n"/>
      <c r="I7" s="637" t="n"/>
    </row>
    <row r="8" ht="42" customHeight="1" s="683">
      <c r="B8" s="11" t="inlineStr">
        <is>
          <t>二、</t>
        </is>
      </c>
      <c r="C8" s="713" t="inlineStr">
        <is>
          <t>得保持緘默，無須違背自己之意思而為陳述。</t>
        </is>
      </c>
      <c r="D8" s="637" t="n"/>
      <c r="E8" s="637" t="n"/>
      <c r="F8" s="637" t="n"/>
      <c r="G8" s="637" t="n"/>
      <c r="H8" s="637" t="n"/>
      <c r="I8" s="637" t="n"/>
    </row>
    <row r="9" ht="42" customHeight="1" s="683">
      <c r="B9" s="11" t="inlineStr">
        <is>
          <t>三、</t>
        </is>
      </c>
      <c r="C9" s="716" t="inlineStr">
        <is>
          <t>得選任辯護人。如為低收入戶、中低收入戶、原住</t>
        </is>
      </c>
      <c r="D9" s="637" t="n"/>
      <c r="E9" s="637" t="n"/>
      <c r="F9" s="637" t="n"/>
      <c r="G9" s="637" t="n"/>
      <c r="H9" s="637" t="n"/>
      <c r="I9" s="637" t="n"/>
    </row>
    <row r="10" ht="42" customHeight="1" s="683">
      <c r="B10" s="12" t="n"/>
      <c r="C10" s="716" t="inlineStr">
        <is>
          <t>民或其他依法令得請求法律扶助者，得請求之。</t>
        </is>
      </c>
      <c r="D10" s="637" t="n"/>
      <c r="E10" s="637" t="n"/>
      <c r="F10" s="637" t="n"/>
      <c r="G10" s="637" t="n"/>
      <c r="H10" s="637" t="n"/>
      <c r="I10" s="637" t="n"/>
    </row>
    <row r="11" ht="42" customHeight="1" s="683">
      <c r="B11" s="11" t="inlineStr">
        <is>
          <t>四、</t>
        </is>
      </c>
      <c r="C11" s="713" t="inlineStr">
        <is>
          <t>得請求調查有利之證據。</t>
        </is>
      </c>
      <c r="D11" s="637" t="n"/>
      <c r="E11" s="637" t="n"/>
      <c r="F11" s="637" t="n"/>
      <c r="G11" s="637" t="n"/>
      <c r="H11" s="637" t="n"/>
      <c r="I11" s="637" t="n"/>
    </row>
    <row r="12" ht="42" customHeight="1" s="683">
      <c r="B12" s="713" t="inlineStr">
        <is>
          <t>五、</t>
        </is>
      </c>
      <c r="C12" s="713" t="inlineStr">
        <is>
          <t>提審法第1條：</t>
        </is>
      </c>
      <c r="D12" s="637" t="n"/>
      <c r="E12" s="637" t="n"/>
      <c r="F12" s="637" t="n"/>
      <c r="G12" s="637" t="n"/>
      <c r="H12" s="637" t="n"/>
      <c r="I12" s="637" t="n"/>
    </row>
    <row r="13" ht="42" customHeight="1" s="683">
      <c r="B13" s="11" t="n"/>
      <c r="C13" s="713" t="inlineStr">
        <is>
          <t>人民被法院以外之任何機關逮捕、拘禁時，其本人</t>
        </is>
      </c>
      <c r="D13" s="637" t="n"/>
      <c r="E13" s="637" t="n"/>
      <c r="F13" s="637" t="n"/>
      <c r="G13" s="637" t="n"/>
      <c r="H13" s="637" t="n"/>
      <c r="I13" s="637" t="n"/>
    </row>
    <row r="14" ht="42" customHeight="1" s="683">
      <c r="B14" s="6" t="n"/>
      <c r="C14" s="713" t="inlineStr">
        <is>
          <t>或他人得向逮捕、拘禁地之地方法院聲請提審。但</t>
        </is>
      </c>
      <c r="D14" s="637" t="n"/>
      <c r="E14" s="637" t="n"/>
      <c r="F14" s="637" t="n"/>
      <c r="G14" s="637" t="n"/>
      <c r="H14" s="637" t="n"/>
      <c r="I14" s="637" t="n"/>
    </row>
    <row r="15" ht="42" customHeight="1" s="683">
      <c r="B15" s="6" t="n"/>
      <c r="C15" s="713" t="inlineStr">
        <is>
          <t>其他法律規定得聲請即時由法院審查者，依其規定。</t>
        </is>
      </c>
      <c r="D15" s="637" t="n"/>
      <c r="E15" s="637" t="n"/>
      <c r="F15" s="637" t="n"/>
      <c r="G15" s="637" t="n"/>
      <c r="H15" s="637" t="n"/>
      <c r="I15" s="637" t="n"/>
    </row>
    <row r="16" ht="42" customHeight="1" s="683">
      <c r="B16" s="6" t="n"/>
      <c r="C16" s="713" t="inlineStr">
        <is>
          <t>前項聲請及第10條之抗告，免徵費用。</t>
        </is>
      </c>
      <c r="D16" s="637" t="n"/>
      <c r="E16" s="637" t="n"/>
      <c r="F16" s="637" t="n"/>
      <c r="G16" s="637" t="n"/>
      <c r="H16" s="6" t="n"/>
      <c r="I16" s="6" t="n"/>
    </row>
    <row r="17" ht="37.5" customHeight="1" s="683">
      <c r="B17" s="6" t="n"/>
      <c r="C17" s="717" t="inlineStr">
        <is>
          <t>被告知人：</t>
        </is>
      </c>
      <c r="D17" s="637" t="n"/>
      <c r="E17" s="637" t="n"/>
      <c r="F17" s="6" t="n"/>
      <c r="G17" s="6" t="n"/>
      <c r="H17" s="6" t="n"/>
      <c r="I17" s="6" t="n"/>
    </row>
    <row r="18" ht="20.25" customHeight="1" s="683">
      <c r="B18" s="6" t="n"/>
      <c r="C18" s="10" t="n"/>
      <c r="D18" s="6" t="n"/>
      <c r="E18" s="6" t="n"/>
      <c r="F18" s="6" t="n"/>
      <c r="G18" s="6" t="n"/>
      <c r="H18" s="6" t="n"/>
      <c r="I18" s="6" t="n"/>
    </row>
    <row r="19" ht="37.5" customHeight="1" s="683">
      <c r="B19" s="6" t="n"/>
      <c r="C19" s="717" t="inlineStr">
        <is>
          <t>司法警察官或司法警察：</t>
        </is>
      </c>
      <c r="D19" s="637" t="n"/>
      <c r="E19" s="637" t="n"/>
      <c r="F19" s="637" t="n"/>
      <c r="G19" s="6">
        <f>IF(ISBLANK(輸入!C10),"","")</f>
        <v/>
      </c>
      <c r="H19" s="6" t="n"/>
      <c r="I19" s="6" t="n"/>
    </row>
    <row r="20" ht="20.25" customHeight="1" s="683">
      <c r="B20" s="6" t="n"/>
      <c r="C20" s="9" t="n"/>
      <c r="D20" s="6" t="n"/>
      <c r="E20" s="6" t="n"/>
      <c r="F20" s="6" t="n"/>
      <c r="G20" s="6" t="n"/>
      <c r="H20" s="6" t="n"/>
      <c r="I20" s="6" t="n"/>
    </row>
    <row r="21" ht="37.5" customHeight="1" s="683">
      <c r="B21" s="6" t="n"/>
      <c r="C21" s="717" t="inlineStr">
        <is>
          <t>告知時間：</t>
        </is>
      </c>
      <c r="D21" s="637" t="n"/>
      <c r="E21" s="637" t="n"/>
      <c r="F21" s="717">
        <f>下拉用!$J$5</f>
        <v/>
      </c>
      <c r="G21" s="637" t="n"/>
      <c r="H21" s="637" t="n"/>
      <c r="I21" s="637" t="n"/>
    </row>
    <row r="22" ht="6.75" customHeight="1" s="683">
      <c r="B22" s="6" t="n"/>
      <c r="C22" s="8" t="n"/>
      <c r="D22" s="6" t="n"/>
      <c r="E22" s="6" t="n"/>
      <c r="F22" s="6" t="n"/>
      <c r="G22" s="6" t="n"/>
      <c r="H22" s="6" t="n"/>
      <c r="I22" s="6" t="n"/>
    </row>
    <row r="23">
      <c r="B23" s="6" t="n"/>
      <c r="C23" s="7" t="inlineStr">
        <is>
          <t>註：本告知單一式二聯，一聯交被告知人，一聯存查。</t>
        </is>
      </c>
      <c r="D23" s="6" t="n"/>
      <c r="E23" s="6" t="n"/>
      <c r="F23" s="6" t="n"/>
      <c r="G23" s="6" t="n"/>
      <c r="H23" s="6" t="n"/>
      <c r="I23" s="6" t="n"/>
    </row>
  </sheetData>
  <mergeCells count="18">
    <mergeCell ref="C14:I14"/>
    <mergeCell ref="C13:I13"/>
    <mergeCell ref="B2:C2"/>
    <mergeCell ref="C9:I9"/>
    <mergeCell ref="B3:I4"/>
    <mergeCell ref="C16:G16"/>
    <mergeCell ref="C8:I8"/>
    <mergeCell ref="C12:I12"/>
    <mergeCell ref="F21:I21"/>
    <mergeCell ref="C17:E17"/>
    <mergeCell ref="C10:I10"/>
    <mergeCell ref="C6:I6"/>
    <mergeCell ref="C7:I7"/>
    <mergeCell ref="C21:E21"/>
    <mergeCell ref="C19:F19"/>
    <mergeCell ref="C15:I15"/>
    <mergeCell ref="C11:I11"/>
    <mergeCell ref="B1:C1"/>
  </mergeCells>
  <pageMargins left="0.7" right="0.7" top="0.75" bottom="0.75" header="0.3" footer="0.3"/>
  <pageSetup orientation="portrait" paperSize="9"/>
</worksheet>
</file>

<file path=xl/worksheets/sheet13.xml><?xml version="1.0" encoding="utf-8"?>
<worksheet xmlns="http://schemas.openxmlformats.org/spreadsheetml/2006/main">
  <sheetPr codeName="工作表4">
    <tabColor rgb="FFFF0000"/>
    <outlinePr summaryBelow="1" summaryRight="1"/>
    <pageSetUpPr/>
  </sheetPr>
  <dimension ref="A1:L19"/>
  <sheetViews>
    <sheetView showGridLines="0" view="pageBreakPreview" topLeftCell="A4" zoomScaleNormal="85" zoomScaleSheetLayoutView="100" workbookViewId="0">
      <selection activeCell="B17" sqref="B17:K17"/>
    </sheetView>
  </sheetViews>
  <sheetFormatPr baseColWidth="8" defaultRowHeight="16.5"/>
  <cols>
    <col width="4.75" customWidth="1" style="683" min="1" max="1"/>
    <col width="7.625" customWidth="1" style="683" min="2" max="9"/>
    <col width="7.875" customWidth="1" style="683" min="10" max="10"/>
    <col width="7.625" customWidth="1" style="683" min="11" max="11"/>
  </cols>
  <sheetData>
    <row r="1" ht="67.5" customHeight="1" s="683">
      <c r="A1" s="22" t="n"/>
      <c r="B1" s="721" t="inlineStr">
        <is>
          <t>夜間偵訊同意書</t>
        </is>
      </c>
      <c r="C1" s="637" t="n"/>
      <c r="D1" s="637" t="n"/>
      <c r="E1" s="637" t="n"/>
      <c r="F1" s="637" t="n"/>
      <c r="G1" s="637" t="n"/>
      <c r="H1" s="637" t="n"/>
      <c r="I1" s="637" t="n"/>
      <c r="J1" s="637" t="n"/>
      <c r="K1" s="637" t="n"/>
      <c r="L1" s="637" t="n"/>
    </row>
    <row r="2" ht="78" customHeight="1" s="683">
      <c r="A2" s="24" t="n"/>
      <c r="B2" s="6" t="n"/>
      <c r="C2" s="6" t="n"/>
      <c r="D2" s="6" t="n"/>
      <c r="E2" s="6" t="n"/>
      <c r="F2" s="6" t="n"/>
      <c r="G2" s="6" t="n"/>
      <c r="H2" s="6" t="n"/>
      <c r="I2" s="6" t="n"/>
      <c r="J2" s="6" t="n"/>
      <c r="K2" s="6" t="n"/>
    </row>
    <row r="3" ht="60.75" customHeight="1" s="683">
      <c r="A3" s="24" t="n"/>
      <c r="B3" s="719">
        <f>CONCATENATE("本人 ",word用!$H$2, " 經告知涉嫌",呈報單!$G$15,"案，同意於夜間接受詢問。")</f>
        <v/>
      </c>
      <c r="C3" s="637" t="n"/>
      <c r="D3" s="637" t="n"/>
      <c r="E3" s="637" t="n"/>
      <c r="F3" s="637" t="n"/>
      <c r="G3" s="637" t="n"/>
      <c r="H3" s="637" t="n"/>
      <c r="I3" s="637" t="n"/>
      <c r="J3" s="637" t="n"/>
      <c r="K3" s="637" t="n"/>
      <c r="L3" s="637" t="n"/>
    </row>
    <row r="4" ht="18" customHeight="1" s="683">
      <c r="A4" s="23" t="n"/>
      <c r="B4" s="637" t="n"/>
      <c r="C4" s="637" t="n"/>
      <c r="D4" s="637" t="n"/>
      <c r="E4" s="637" t="n"/>
      <c r="F4" s="637" t="n"/>
      <c r="G4" s="637" t="n"/>
      <c r="H4" s="637" t="n"/>
      <c r="I4" s="637" t="n"/>
      <c r="J4" s="637" t="n"/>
      <c r="K4" s="637" t="n"/>
      <c r="L4" s="637" t="n"/>
    </row>
    <row r="5" ht="24.75" customHeight="1" s="683">
      <c r="A5" s="321" t="n"/>
      <c r="B5" s="637" t="n"/>
      <c r="C5" s="637" t="n"/>
      <c r="D5" s="637" t="n"/>
      <c r="E5" s="637" t="n"/>
      <c r="F5" s="637" t="n"/>
      <c r="G5" s="637" t="n"/>
      <c r="H5" s="637" t="n"/>
      <c r="I5" s="637" t="n"/>
      <c r="J5" s="637" t="n"/>
      <c r="K5" s="637" t="n"/>
      <c r="L5" s="637" t="n"/>
    </row>
    <row r="6" ht="22.5" customHeight="1" s="683">
      <c r="A6" s="22" t="n"/>
      <c r="B6" s="637" t="n"/>
      <c r="C6" s="637" t="n"/>
      <c r="D6" s="637" t="n"/>
      <c r="E6" s="637" t="n"/>
      <c r="F6" s="637" t="n"/>
      <c r="G6" s="637" t="n"/>
      <c r="H6" s="637" t="n"/>
      <c r="I6" s="637" t="n"/>
      <c r="J6" s="637" t="n"/>
      <c r="K6" s="637" t="n"/>
      <c r="L6" s="637" t="n"/>
    </row>
    <row r="7" ht="51.75" customHeight="1" s="683">
      <c r="A7" s="320" t="n"/>
      <c r="B7" s="637" t="n"/>
      <c r="C7" s="637" t="n"/>
      <c r="D7" s="637" t="n"/>
      <c r="E7" s="637" t="n"/>
      <c r="F7" s="637" t="n"/>
      <c r="G7" s="637" t="n"/>
      <c r="H7" s="637" t="n"/>
      <c r="I7" s="637" t="n"/>
      <c r="J7" s="637" t="n"/>
      <c r="K7" s="637" t="n"/>
      <c r="L7" s="637" t="n"/>
    </row>
    <row r="8" ht="11.25" customHeight="1" s="683">
      <c r="A8" s="18" t="n"/>
      <c r="B8" s="21" t="n"/>
      <c r="C8" s="6" t="n"/>
      <c r="D8" s="6" t="n"/>
      <c r="E8" s="6" t="n"/>
      <c r="F8" s="6" t="n"/>
      <c r="G8" s="6" t="n"/>
      <c r="H8" s="6" t="n"/>
      <c r="I8" s="6" t="n"/>
      <c r="J8" s="6" t="n"/>
      <c r="K8" s="6" t="n"/>
    </row>
    <row r="9" ht="19.5" customHeight="1" s="683">
      <c r="A9" s="18" t="n"/>
      <c r="B9" s="20" t="n"/>
      <c r="C9" s="6" t="n"/>
      <c r="D9" s="6" t="n"/>
      <c r="E9" s="6" t="n"/>
      <c r="F9" s="6" t="n"/>
      <c r="G9" s="6" t="n"/>
      <c r="H9" s="6" t="n"/>
      <c r="I9" s="6" t="n"/>
      <c r="J9" s="6" t="n"/>
      <c r="K9" s="6" t="n"/>
    </row>
    <row r="10" ht="8.25" customHeight="1" s="683">
      <c r="A10" s="18" t="n"/>
      <c r="B10" s="6" t="n"/>
      <c r="C10" s="6" t="n"/>
      <c r="D10" s="6" t="n"/>
      <c r="E10" s="6" t="n"/>
      <c r="F10" s="6" t="n"/>
      <c r="G10" s="6" t="n"/>
      <c r="H10" s="6" t="n"/>
      <c r="I10" s="6" t="n"/>
      <c r="J10" s="6" t="n"/>
      <c r="K10" s="6" t="n"/>
    </row>
    <row r="11" ht="46.5" customHeight="1" s="683">
      <c r="A11" s="6" t="n"/>
      <c r="B11" s="19" t="n"/>
      <c r="C11" s="6" t="n"/>
      <c r="D11" s="6" t="n"/>
      <c r="E11" s="6" t="n"/>
      <c r="F11" s="6" t="n"/>
      <c r="G11" s="6" t="n"/>
      <c r="H11" s="6" t="n"/>
      <c r="I11" s="6" t="n"/>
      <c r="J11" s="6" t="n"/>
      <c r="K11" s="6" t="n"/>
    </row>
    <row r="12" hidden="1" ht="50.25" customHeight="1" s="683">
      <c r="A12" s="6" t="n"/>
      <c r="B12" s="6" t="n"/>
      <c r="C12" s="6" t="n"/>
      <c r="D12" s="6" t="n"/>
      <c r="E12" s="6" t="n"/>
      <c r="F12" s="6" t="n"/>
      <c r="G12" s="6" t="n"/>
      <c r="H12" s="6" t="n"/>
      <c r="I12" s="6" t="n"/>
      <c r="J12" s="6" t="n"/>
      <c r="K12" s="6" t="n"/>
    </row>
    <row r="13" ht="52.5" customHeight="1" s="683">
      <c r="A13" s="6" t="n"/>
      <c r="B13" s="720" t="inlineStr">
        <is>
          <t>涉嫌人簽章：</t>
        </is>
      </c>
      <c r="C13" s="637" t="n"/>
      <c r="D13" s="637" t="n"/>
      <c r="E13" s="637" t="n"/>
      <c r="F13" s="6" t="n"/>
      <c r="G13" s="6" t="n"/>
      <c r="H13" s="6" t="n"/>
      <c r="I13" s="6" t="n"/>
      <c r="J13" s="6" t="n"/>
      <c r="K13" s="6" t="n"/>
    </row>
    <row r="14" ht="37.5" customHeight="1" s="683">
      <c r="A14" s="17" t="n"/>
      <c r="B14" s="6" t="n"/>
      <c r="C14" s="6" t="n"/>
      <c r="D14" s="6" t="n"/>
      <c r="E14" s="6" t="n"/>
      <c r="F14" s="6" t="n"/>
      <c r="G14" s="6" t="n"/>
      <c r="H14" s="6" t="n"/>
      <c r="I14" s="6" t="n"/>
      <c r="J14" s="6" t="n"/>
      <c r="K14" s="6" t="n"/>
    </row>
    <row r="15" ht="52.5" customHeight="1" s="683">
      <c r="A15" s="18" t="n"/>
      <c r="B15" s="720" t="inlineStr">
        <is>
          <t>司法警察：</t>
        </is>
      </c>
      <c r="C15" s="637" t="n"/>
      <c r="D15" s="637" t="n"/>
      <c r="E15" s="637" t="n"/>
      <c r="F15" s="6" t="n"/>
      <c r="G15" s="6" t="n"/>
      <c r="H15" s="6" t="n"/>
      <c r="I15" s="6" t="n"/>
      <c r="J15" s="6" t="n"/>
      <c r="K15" s="6" t="n"/>
    </row>
    <row r="16" ht="37.5" customHeight="1" s="683">
      <c r="A16" s="17" t="n"/>
      <c r="B16" s="6" t="n"/>
      <c r="C16" s="6" t="n"/>
      <c r="D16" s="6" t="n"/>
      <c r="E16" s="6" t="n"/>
      <c r="F16" s="6" t="n"/>
      <c r="G16" s="6" t="n"/>
      <c r="H16" s="6" t="n"/>
      <c r="I16" s="6" t="n"/>
      <c r="J16" s="6" t="n"/>
      <c r="K16" s="6" t="n"/>
    </row>
    <row r="17" ht="27.75" customHeight="1" s="683">
      <c r="A17" s="16" t="n"/>
      <c r="B17" s="718">
        <f>CONCATENATE("　　告知時間:",下拉用!$J$5,"")</f>
        <v/>
      </c>
      <c r="C17" s="637" t="n"/>
      <c r="D17" s="637" t="n"/>
      <c r="E17" s="637" t="n"/>
      <c r="F17" s="637" t="n"/>
      <c r="G17" s="637" t="n"/>
      <c r="H17" s="637" t="n"/>
      <c r="I17" s="637" t="n"/>
      <c r="J17" s="637" t="n"/>
      <c r="K17" s="637" t="n"/>
    </row>
    <row r="18" ht="30" customHeight="1" s="683">
      <c r="A18" s="15" t="n"/>
    </row>
    <row r="19" ht="36.75" customHeight="1" s="683">
      <c r="B19" s="14" t="n"/>
    </row>
  </sheetData>
  <mergeCells count="5">
    <mergeCell ref="B17:K17"/>
    <mergeCell ref="B3:L7"/>
    <mergeCell ref="B13:E13"/>
    <mergeCell ref="B15:E15"/>
    <mergeCell ref="B1:L1"/>
  </mergeCells>
  <pageMargins left="0.4375" right="0.7" top="0.75" bottom="0.75" header="0.3" footer="0.3"/>
  <pageSetup orientation="portrait" paperSize="9"/>
</worksheet>
</file>

<file path=xl/worksheets/sheet14.xml><?xml version="1.0" encoding="utf-8"?>
<worksheet xmlns="http://schemas.openxmlformats.org/spreadsheetml/2006/main">
  <sheetPr codeName="工作表48">
    <tabColor theme="9" tint="-0.499984740745262"/>
    <outlinePr summaryBelow="1" summaryRight="1"/>
    <pageSetUpPr/>
  </sheetPr>
  <dimension ref="A1:O18"/>
  <sheetViews>
    <sheetView view="pageLayout" zoomScaleNormal="100" workbookViewId="0">
      <selection activeCell="G3" sqref="G3:K3"/>
    </sheetView>
  </sheetViews>
  <sheetFormatPr baseColWidth="8" defaultRowHeight="16.5"/>
  <cols>
    <col width="4.875" customWidth="1" style="593" min="1" max="1"/>
    <col width="1.625" customWidth="1" style="593" min="2" max="2"/>
    <col width="3.625" customWidth="1" style="593" min="3" max="3"/>
    <col width="2.25" customWidth="1" style="593" min="4" max="4"/>
    <col width="2.375" customWidth="1" style="593" min="5" max="5"/>
    <col width="3.5" customWidth="1" style="593" min="6" max="6"/>
    <col width="6.5" customWidth="1" style="593" min="7" max="7"/>
    <col width="4.25" customWidth="1" style="593" min="8" max="8"/>
    <col width="3.25" customWidth="1" style="593" min="9" max="9"/>
    <col width="8.375" customWidth="1" style="593" min="10" max="10"/>
    <col width="4.625" customWidth="1" style="593" min="11" max="11"/>
    <col width="8.625" customWidth="1" style="593" min="12" max="12"/>
    <col width="12.625" customWidth="1" style="593" min="13" max="13"/>
    <col width="9" customWidth="1" style="593" min="14" max="14"/>
    <col width="11.375" customWidth="1" style="593" min="15" max="15"/>
    <col width="9" customWidth="1" style="593" min="16" max="17"/>
    <col width="9" customWidth="1" style="593" min="18" max="16384"/>
  </cols>
  <sheetData>
    <row r="1" ht="45.75" customHeight="1" s="683">
      <c r="A1" s="733">
        <f>CONCATENATE(輸入!$S$18,輸入!$T$18,輸入!$S$19,輸入!$T$19,輸入!$S$20,輸入!$T$20,"一般陳報單",)</f>
        <v/>
      </c>
      <c r="B1" s="734" t="n"/>
      <c r="C1" s="734" t="n"/>
      <c r="D1" s="734" t="n"/>
      <c r="E1" s="734" t="n"/>
      <c r="F1" s="734" t="n"/>
      <c r="G1" s="734" t="n"/>
      <c r="H1" s="734" t="n"/>
      <c r="I1" s="734" t="n"/>
      <c r="J1" s="734" t="n"/>
      <c r="K1" s="734" t="n"/>
      <c r="L1" s="734" t="n"/>
      <c r="M1" s="734" t="n"/>
      <c r="N1" s="734" t="n"/>
      <c r="O1" s="735" t="n"/>
    </row>
    <row r="2" ht="45.75" customHeight="1" s="683">
      <c r="A2" s="723" t="inlineStr">
        <is>
          <t>陳報字號</t>
        </is>
      </c>
      <c r="B2" s="579" t="n"/>
      <c r="C2" s="579" t="n"/>
      <c r="D2" s="579" t="n"/>
      <c r="E2" s="579" t="n"/>
      <c r="F2" s="576" t="n"/>
      <c r="G2" s="730" t="inlineStr">
        <is>
          <t>陳報日期</t>
        </is>
      </c>
      <c r="H2" s="579" t="n"/>
      <c r="I2" s="579" t="n"/>
      <c r="J2" s="579" t="n"/>
      <c r="K2" s="576" t="n"/>
      <c r="L2" s="730" t="inlineStr">
        <is>
          <t>主旨</t>
        </is>
      </c>
      <c r="M2" s="579" t="n"/>
      <c r="N2" s="579" t="n"/>
      <c r="O2" s="576" t="n"/>
    </row>
    <row r="3" ht="88.5" customHeight="1" s="683">
      <c r="A3" s="736" t="inlineStr">
        <is>
          <t>北市警    字
第        號</t>
        </is>
      </c>
      <c r="B3" s="579" t="n"/>
      <c r="C3" s="579" t="n"/>
      <c r="D3" s="579" t="n"/>
      <c r="E3" s="579" t="n"/>
      <c r="F3" s="576" t="n"/>
      <c r="G3" s="1332">
        <f>TODAY()</f>
        <v/>
      </c>
      <c r="H3" s="579" t="n"/>
      <c r="I3" s="579" t="n"/>
      <c r="J3" s="579" t="n"/>
      <c r="K3" s="576" t="n"/>
      <c r="L3" s="729">
        <f>CONCATENATE("本所為偵辦【",呈報單!$G$15,"】案，報 請協助通知 ",word用!$H$2,"  到案說明乙案。")</f>
        <v/>
      </c>
      <c r="M3" s="579" t="n"/>
      <c r="N3" s="579" t="n"/>
      <c r="O3" s="576" t="n"/>
    </row>
    <row r="4" ht="41.25" customHeight="1" s="683">
      <c r="A4" s="724" t="inlineStr">
        <is>
          <t>陳報內容</t>
        </is>
      </c>
      <c r="B4" s="583" t="n"/>
      <c r="C4" s="373" t="inlineStr">
        <is>
          <t>主旨：</t>
        </is>
      </c>
      <c r="D4" s="374" t="n"/>
      <c r="E4" s="374" t="n"/>
      <c r="F4" s="731">
        <f>CONCATENATE("本所為偵辦【",呈報單!$G$15,"】案，報 請協助通知 ",word用!$H$2," 到案說明乙案。")</f>
        <v/>
      </c>
      <c r="G4" s="582" t="n"/>
      <c r="H4" s="582" t="n"/>
      <c r="I4" s="582" t="n"/>
      <c r="J4" s="582" t="n"/>
      <c r="K4" s="582" t="n"/>
      <c r="L4" s="582" t="n"/>
      <c r="M4" s="582" t="n"/>
      <c r="N4" s="582" t="n"/>
      <c r="O4" s="732" t="n"/>
    </row>
    <row r="5" ht="218.25" customHeight="1" s="683">
      <c r="A5" s="725" t="n"/>
      <c r="B5" s="609" t="n"/>
      <c r="C5" s="375" t="inlineStr">
        <is>
          <t>說明：</t>
        </is>
      </c>
      <c r="D5" s="375" t="n"/>
      <c r="E5" s="375" t="n"/>
      <c r="F5" s="727">
        <f>IF(輸入!$E$2=下拉用!$B$1,下拉用!$B$6,下拉用!$A$6)</f>
        <v/>
      </c>
      <c r="O5" s="728" t="n"/>
    </row>
    <row r="6" hidden="1" ht="33" customHeight="1" s="683">
      <c r="A6" s="725" t="n"/>
      <c r="B6" s="609" t="n"/>
      <c r="C6" s="375" t="n"/>
      <c r="D6" s="375" t="n"/>
      <c r="E6" s="375" t="n"/>
      <c r="F6" s="438" t="n"/>
      <c r="G6" s="438" t="n"/>
      <c r="H6" s="438" t="n"/>
      <c r="I6" s="438" t="n"/>
      <c r="J6" s="438" t="n"/>
      <c r="K6" s="438" t="n"/>
      <c r="L6" s="438" t="n"/>
      <c r="M6" s="438" t="n"/>
      <c r="N6" s="438" t="n"/>
      <c r="O6" s="727" t="n"/>
    </row>
    <row r="7" ht="22.5" customHeight="1" s="683">
      <c r="A7" s="725" t="n"/>
      <c r="B7" s="609" t="n"/>
      <c r="C7" s="375" t="n"/>
      <c r="D7" s="375" t="n"/>
      <c r="E7" s="375" t="n"/>
      <c r="F7" s="438" t="n"/>
      <c r="G7" s="738" t="inlineStr">
        <is>
          <t>到案時間：</t>
        </is>
      </c>
      <c r="J7" s="1333" t="n">
        <v>11406061800</v>
      </c>
      <c r="N7" s="1334" t="n"/>
      <c r="O7" s="727" t="n"/>
    </row>
    <row r="8" ht="22.5" customHeight="1" s="683">
      <c r="A8" s="725" t="n"/>
      <c r="B8" s="609" t="n"/>
      <c r="C8" s="376" t="n"/>
      <c r="D8" s="376" t="n"/>
      <c r="E8" s="376" t="n"/>
      <c r="F8" s="376" t="n"/>
      <c r="G8" s="377">
        <f>CONCATENATE("戶籍地址: ",word用!$M$2,"")</f>
        <v/>
      </c>
      <c r="H8" s="377" t="n"/>
      <c r="I8" s="377" t="n"/>
      <c r="J8" s="377" t="n"/>
      <c r="K8" s="376" t="n"/>
      <c r="L8" s="376" t="n"/>
      <c r="M8" s="376" t="n"/>
      <c r="N8" s="376" t="n"/>
      <c r="O8" s="378" t="n"/>
    </row>
    <row r="9" ht="22.5" customHeight="1" s="683">
      <c r="A9" s="725" t="n"/>
      <c r="B9" s="609" t="n"/>
      <c r="C9" s="376" t="n"/>
      <c r="D9" s="376" t="n"/>
      <c r="E9" s="376" t="n"/>
      <c r="F9" s="376" t="n"/>
      <c r="G9" s="377">
        <f>CONCATENATE("現住地址：",word用!$N$2,"")</f>
        <v/>
      </c>
      <c r="H9" s="377" t="n"/>
      <c r="I9" s="377" t="n"/>
      <c r="J9" s="377" t="n"/>
      <c r="K9" s="376" t="n"/>
      <c r="L9" s="376" t="n"/>
      <c r="M9" s="376" t="n"/>
      <c r="N9" s="376" t="n"/>
      <c r="O9" s="378" t="n"/>
    </row>
    <row r="10" ht="22.5" customHeight="1" s="683">
      <c r="A10" s="725" t="n"/>
      <c r="B10" s="609" t="n"/>
      <c r="C10" s="376" t="n"/>
      <c r="D10" s="376" t="n"/>
      <c r="E10" s="376" t="n"/>
      <c r="F10" s="376" t="n"/>
      <c r="G10" s="377">
        <f>CONCATENATE("通知地點：",輸入!$S$23,"(",輸入!$S$20,輸入!$T$20,")")</f>
        <v/>
      </c>
      <c r="H10" s="377" t="n"/>
      <c r="I10" s="377" t="n"/>
      <c r="J10" s="377" t="n"/>
      <c r="K10" s="376" t="n"/>
      <c r="L10" s="376" t="n"/>
      <c r="M10" s="376" t="n"/>
      <c r="N10" s="376" t="n"/>
      <c r="O10" s="378" t="n"/>
    </row>
    <row r="11" ht="22.5" customHeight="1" s="683">
      <c r="A11" s="725" t="n"/>
      <c r="B11" s="609" t="n"/>
      <c r="C11" s="376" t="n"/>
      <c r="D11" s="376" t="n"/>
      <c r="E11" s="376" t="n"/>
      <c r="F11" s="376" t="n"/>
      <c r="G11" s="377">
        <f>CONCATENATE("聯絡電話：",輸入!$T$21,"")</f>
        <v/>
      </c>
      <c r="H11" s="377" t="n"/>
      <c r="I11" s="377" t="n"/>
      <c r="J11" s="377" t="n"/>
      <c r="K11" s="376" t="n"/>
      <c r="L11" s="376" t="n"/>
      <c r="M11" s="376" t="n"/>
      <c r="N11" s="376" t="n"/>
      <c r="O11" s="378" t="n"/>
    </row>
    <row r="12" ht="22.5" customHeight="1" s="683">
      <c r="A12" s="725" t="n"/>
      <c r="B12" s="609" t="n"/>
      <c r="C12" s="376" t="n"/>
      <c r="D12" s="376" t="n"/>
      <c r="E12" s="376" t="n"/>
      <c r="F12" s="376" t="n"/>
      <c r="G12" s="377">
        <f>CONCATENATE("公務信箱：",輸入!$S$25,)</f>
        <v/>
      </c>
      <c r="H12" s="377" t="n"/>
      <c r="I12" s="377" t="n"/>
      <c r="J12" s="377" t="n"/>
      <c r="K12" s="376" t="n"/>
      <c r="L12" s="376" t="n"/>
      <c r="M12" s="376" t="n"/>
      <c r="N12" s="376" t="n"/>
      <c r="O12" s="378" t="n"/>
    </row>
    <row r="13" ht="22.5" customHeight="1" s="683">
      <c r="A13" s="725" t="n"/>
      <c r="B13" s="609" t="n"/>
      <c r="C13" s="376" t="n"/>
      <c r="D13" s="376" t="n"/>
      <c r="E13" s="376" t="n"/>
      <c r="F13" s="376" t="n"/>
      <c r="G13" s="377">
        <f>CONCATENATE("承 辦 人：警員 ",輸入!$O$8,"")</f>
        <v/>
      </c>
      <c r="H13" s="377" t="n"/>
      <c r="I13" s="377" t="n"/>
      <c r="J13" s="377" t="n"/>
      <c r="K13" s="376" t="n"/>
      <c r="L13" s="376" t="n"/>
      <c r="M13" s="376" t="n"/>
      <c r="N13" s="376" t="n"/>
      <c r="O13" s="378" t="n"/>
    </row>
    <row r="14" ht="21" customHeight="1" s="683">
      <c r="A14" s="725" t="n"/>
      <c r="B14" s="609" t="n"/>
      <c r="C14" s="379" t="inlineStr">
        <is>
          <t>二、</t>
        </is>
      </c>
      <c r="D14" s="375" t="n"/>
      <c r="E14" s="727">
        <f>CONCATENATE("檢附",呈報單!$G$15,"案陳報單、關係人個資等相關資料。")</f>
        <v/>
      </c>
      <c r="O14" s="728" t="n"/>
    </row>
    <row r="15" ht="24" customHeight="1" s="683">
      <c r="A15" s="726" t="n"/>
      <c r="B15" s="586" t="n"/>
      <c r="C15" s="380" t="inlineStr">
        <is>
          <t>三、報 請鈞長鑒核。</t>
        </is>
      </c>
      <c r="D15" s="380" t="n"/>
      <c r="E15" s="380" t="n"/>
      <c r="F15" s="376" t="n"/>
      <c r="G15" s="376" t="n"/>
      <c r="H15" s="376" t="n"/>
      <c r="I15" s="376" t="n"/>
      <c r="J15" s="376" t="n"/>
      <c r="K15" s="376" t="n"/>
      <c r="L15" s="376" t="n"/>
      <c r="M15" s="381" t="n"/>
      <c r="N15" s="381" t="n"/>
      <c r="O15" s="378" t="n"/>
    </row>
    <row r="16" ht="25.5" customHeight="1" s="683">
      <c r="A16" s="382" t="inlineStr">
        <is>
          <t>承辦人：</t>
        </is>
      </c>
      <c r="B16" s="383" t="n"/>
      <c r="C16" s="383" t="n"/>
      <c r="D16" s="383" t="n"/>
      <c r="E16" s="383" t="n"/>
      <c r="F16" s="383" t="n"/>
      <c r="G16" s="383" t="n"/>
      <c r="H16" s="383" t="inlineStr">
        <is>
          <t>主  管：</t>
        </is>
      </c>
      <c r="I16" s="383" t="n"/>
      <c r="J16" s="383" t="n"/>
      <c r="K16" s="383" t="n"/>
      <c r="L16" s="383" t="n"/>
      <c r="M16" s="53" t="inlineStr">
        <is>
          <t>謹陳</t>
        </is>
      </c>
      <c r="O16" s="340" t="n"/>
    </row>
    <row r="17" ht="25.5" customHeight="1" s="683">
      <c r="A17" s="384" t="n"/>
      <c r="B17" s="53" t="n"/>
      <c r="C17" s="53" t="n"/>
      <c r="D17" s="53" t="n"/>
      <c r="E17" s="53" t="n"/>
      <c r="F17" s="53" t="n"/>
      <c r="G17" s="53" t="n"/>
      <c r="H17" s="53" t="inlineStr">
        <is>
          <t xml:space="preserve"> </t>
        </is>
      </c>
      <c r="I17" s="53" t="n"/>
      <c r="J17" s="53" t="n"/>
      <c r="K17" s="53" t="n"/>
      <c r="L17" s="53" t="n"/>
      <c r="M17" s="53" t="inlineStr">
        <is>
          <t>分局長：</t>
        </is>
      </c>
      <c r="O17" s="80" t="n"/>
    </row>
    <row r="18" ht="94.5" customHeight="1" s="683" thickBot="1">
      <c r="A18" s="385" t="n"/>
      <c r="B18" s="284" t="n"/>
      <c r="C18" s="284" t="n"/>
      <c r="D18" s="284" t="n"/>
      <c r="E18" s="284" t="n"/>
      <c r="F18" s="284" t="n"/>
      <c r="G18" s="284" t="n"/>
      <c r="H18" s="284" t="n"/>
      <c r="I18" s="284" t="n"/>
      <c r="J18" s="284" t="n"/>
      <c r="K18" s="284" t="n"/>
      <c r="L18" s="284" t="n"/>
      <c r="M18" s="284" t="n"/>
      <c r="N18" s="284" t="n"/>
      <c r="O18" s="81" t="n"/>
    </row>
  </sheetData>
  <mergeCells count="13">
    <mergeCell ref="G3:K3"/>
    <mergeCell ref="A2:F2"/>
    <mergeCell ref="A4:B15"/>
    <mergeCell ref="F5:O5"/>
    <mergeCell ref="L3:O3"/>
    <mergeCell ref="G2:K2"/>
    <mergeCell ref="F4:O4"/>
    <mergeCell ref="G7:I7"/>
    <mergeCell ref="A1:O1"/>
    <mergeCell ref="L2:O2"/>
    <mergeCell ref="A3:F3"/>
    <mergeCell ref="J7:M7"/>
    <mergeCell ref="E14:O14"/>
  </mergeCells>
  <pageMargins left="0.7874015748031497" right="0.5905511811023623" top="0.5905511811023623" bottom="0.5905511811023623" header="0.5118110236220472" footer="0.5118110236220472"/>
  <pageSetup orientation="portrait" paperSize="9"/>
</worksheet>
</file>

<file path=xl/worksheets/sheet15.xml><?xml version="1.0" encoding="utf-8"?>
<worksheet xmlns="http://schemas.openxmlformats.org/spreadsheetml/2006/main">
  <sheetPr codeName="工作表11">
    <tabColor rgb="FFFF0000"/>
    <outlinePr summaryBelow="1" summaryRight="1"/>
    <pageSetUpPr/>
  </sheetPr>
  <dimension ref="A1:K23"/>
  <sheetViews>
    <sheetView showGridLines="0" view="pageBreakPreview" zoomScale="85" zoomScaleNormal="100" zoomScaleSheetLayoutView="85" zoomScalePageLayoutView="70" workbookViewId="0">
      <selection activeCell="B21" sqref="B21"/>
    </sheetView>
  </sheetViews>
  <sheetFormatPr baseColWidth="8" defaultRowHeight="16.5"/>
  <cols>
    <col width="24.75" customWidth="1" style="683" min="1" max="4"/>
    <col width="8.625" customWidth="1" style="683" min="5" max="6"/>
    <col width="9.75" customWidth="1" style="683" min="9" max="9"/>
  </cols>
  <sheetData>
    <row r="1" ht="51" customHeight="1" s="683">
      <c r="A1" s="739">
        <f>CONCATENATE(,輸入!$S$18,輸入!$T$18,輸入!$S$19,輸入!$T$19,"執行逮捕、拘禁告知本人通知書")</f>
        <v/>
      </c>
      <c r="B1" s="740" t="n"/>
      <c r="C1" s="740" t="n"/>
      <c r="D1" s="741" t="n"/>
      <c r="E1" s="104" t="n"/>
      <c r="F1" s="104" t="n"/>
      <c r="G1" s="104" t="n"/>
      <c r="H1" s="104" t="n"/>
      <c r="I1" s="104" t="n"/>
    </row>
    <row r="2" ht="27" customHeight="1" s="683">
      <c r="A2" s="747">
        <f>CONCATENATE("台端因涉 ",呈報單!$G$15," 案件，經",輸入!$S$18,輸入!$T$18,輸入!$S$19,輸入!$T$19,"依下列法律之規定逮捕或拘禁，特此通知：")</f>
        <v/>
      </c>
      <c r="B2" s="628" t="n"/>
      <c r="C2" s="628" t="n"/>
      <c r="D2" s="748" t="n"/>
      <c r="E2" s="442" t="n"/>
      <c r="F2" s="442" t="n"/>
      <c r="G2" s="442" t="n"/>
      <c r="H2" s="442" t="n"/>
      <c r="I2" s="442" t="n"/>
      <c r="J2" s="442" t="n"/>
      <c r="K2" s="442" t="n"/>
    </row>
    <row r="3" ht="12" customHeight="1" s="683">
      <c r="A3" s="749" t="n"/>
      <c r="B3" s="637" t="n"/>
      <c r="C3" s="637" t="n"/>
      <c r="D3" s="745" t="n"/>
      <c r="E3" s="442" t="n"/>
      <c r="F3" s="442" t="n"/>
      <c r="G3" s="442" t="n"/>
      <c r="H3" s="442" t="n"/>
      <c r="I3" s="442" t="n"/>
      <c r="J3" s="442" t="n"/>
      <c r="K3" s="442" t="n"/>
    </row>
    <row r="4" ht="15" customHeight="1" s="683">
      <c r="A4" s="749" t="n"/>
      <c r="B4" s="637" t="n"/>
      <c r="C4" s="637" t="n"/>
      <c r="D4" s="745" t="n"/>
      <c r="E4" s="442" t="n"/>
      <c r="F4" s="442" t="n"/>
      <c r="G4" s="442" t="n"/>
      <c r="H4" s="442" t="n"/>
      <c r="I4" s="442" t="n"/>
      <c r="J4" s="442" t="n"/>
      <c r="K4" s="442" t="n"/>
    </row>
    <row r="5" ht="20.25" customFormat="1" customHeight="1" s="43">
      <c r="A5" s="744" t="inlineStr">
        <is>
          <t>□依刑事訴訟法第七十一條之一規定，聲請檢察官核發拘票拘提。</t>
        </is>
      </c>
      <c r="B5" s="637" t="n"/>
      <c r="C5" s="637" t="n"/>
      <c r="D5" s="745" t="n"/>
      <c r="E5" s="442" t="n"/>
      <c r="F5" s="442" t="n"/>
      <c r="G5" s="442" t="n"/>
      <c r="H5" s="442" t="n"/>
      <c r="I5" s="442" t="n"/>
    </row>
    <row r="6" ht="20.25" customFormat="1" customHeight="1" s="43">
      <c r="A6" s="744" t="inlineStr">
        <is>
          <t>□依刑事訴訟法第七十五條或第七十六條規定，執行拘提。</t>
        </is>
      </c>
      <c r="B6" s="637" t="n"/>
      <c r="C6" s="637" t="n"/>
      <c r="D6" s="745" t="n"/>
      <c r="E6" s="442" t="n"/>
      <c r="F6" s="442" t="n"/>
      <c r="G6" s="442" t="n"/>
      <c r="H6" s="442" t="n"/>
      <c r="I6" s="442" t="n"/>
    </row>
    <row r="7" ht="20.25" customFormat="1" customHeight="1" s="43">
      <c r="A7" s="744">
        <f>IF(輸入!$C$2="通緝","■依刑事訴訟法第八十七條規定，因通緝而拘提或逕行逮捕。","□依刑事訴訟法第八十七條規定，因通緝而拘提或逕行逮捕。")</f>
        <v/>
      </c>
      <c r="B7" s="637" t="n"/>
      <c r="C7" s="637" t="n"/>
      <c r="D7" s="745" t="n"/>
      <c r="E7" s="442" t="n"/>
      <c r="F7" s="442" t="n"/>
      <c r="G7" s="442" t="n"/>
      <c r="H7" s="442" t="n"/>
      <c r="I7" s="442" t="n"/>
    </row>
    <row r="8" ht="20.25" customFormat="1" customHeight="1" s="43">
      <c r="A8" s="744">
        <f>IF(輸入!$C$2="通緝","□依刑事訴訟法第八十八條規定，因屬現行犯而逕行逮捕。","■依刑事訴訟法第八十八條規定，因屬現行犯而逕行逮捕。")</f>
        <v/>
      </c>
      <c r="B8" s="637" t="n"/>
      <c r="C8" s="637" t="n"/>
      <c r="D8" s="745" t="n"/>
      <c r="E8" s="442" t="n"/>
      <c r="F8" s="442" t="n"/>
      <c r="G8" s="442" t="n"/>
      <c r="H8" s="442" t="n"/>
      <c r="I8" s="442" t="n"/>
    </row>
    <row r="9" ht="20.25" customFormat="1" customHeight="1" s="43">
      <c r="A9" s="744" t="inlineStr">
        <is>
          <t>□依刑事訴訟法第八十八條之1規定，逕行拘提。</t>
        </is>
      </c>
      <c r="B9" s="637" t="n"/>
      <c r="C9" s="637" t="n"/>
      <c r="D9" s="745" t="n"/>
      <c r="E9" s="442" t="n"/>
      <c r="F9" s="442" t="n"/>
      <c r="G9" s="442" t="n"/>
      <c r="H9" s="442" t="n"/>
      <c r="I9" s="442" t="n"/>
    </row>
    <row r="10" ht="20.25" customFormat="1" customHeight="1" s="43">
      <c r="A10" s="744" t="inlineStr">
        <is>
          <t>□依家庭暴力防治法第二十九條第一項規定，因屬現行犯而逕行逮捕。</t>
        </is>
      </c>
      <c r="B10" s="637" t="n"/>
      <c r="C10" s="637" t="n"/>
      <c r="D10" s="745" t="n"/>
      <c r="E10" s="442" t="n"/>
      <c r="F10" s="442" t="n"/>
      <c r="G10" s="442" t="n"/>
      <c r="H10" s="442" t="n"/>
      <c r="I10" s="442" t="n"/>
      <c r="J10" s="442" t="n"/>
    </row>
    <row r="11" ht="20.25" customFormat="1" customHeight="1" s="43">
      <c r="A11" s="744" t="inlineStr">
        <is>
          <t>□依家庭暴力防治法第二十九條第二項規定，逕行拘提。</t>
        </is>
      </c>
      <c r="B11" s="637" t="n"/>
      <c r="C11" s="637" t="n"/>
      <c r="D11" s="745" t="n"/>
      <c r="E11" s="442" t="n"/>
      <c r="F11" s="442" t="n"/>
      <c r="G11" s="442" t="n"/>
      <c r="H11" s="442" t="n"/>
      <c r="I11" s="442" t="n"/>
    </row>
    <row r="12" ht="20.25" customFormat="1" customHeight="1" s="43">
      <c r="A12" s="744" t="inlineStr">
        <is>
          <t>□依社會秩序維護法第四十二條規定，強制到場。</t>
        </is>
      </c>
      <c r="B12" s="637" t="n"/>
      <c r="C12" s="637" t="n"/>
      <c r="D12" s="745" t="n"/>
      <c r="E12" s="442" t="n"/>
      <c r="F12" s="442" t="n"/>
      <c r="G12" s="442" t="n"/>
      <c r="H12" s="442" t="n"/>
      <c r="I12" s="442" t="n"/>
    </row>
    <row r="13" ht="20.25" customFormat="1" customHeight="1" s="43">
      <c r="A13" s="744" t="inlineStr">
        <is>
          <t>□依少年事件處理法第二十三條規定，執行同行。</t>
        </is>
      </c>
      <c r="B13" s="637" t="n"/>
      <c r="C13" s="637" t="n"/>
      <c r="D13" s="745" t="n"/>
      <c r="E13" s="442" t="n"/>
      <c r="F13" s="442" t="n"/>
      <c r="G13" s="442" t="n"/>
      <c r="H13" s="442" t="n"/>
      <c r="I13" s="442" t="n"/>
    </row>
    <row r="14" ht="20.25" customFormat="1" customHeight="1" s="43">
      <c r="A14" s="744" t="inlineStr">
        <is>
          <t>□依少年事件處理法第二十三條之一規定，執行協尋。</t>
        </is>
      </c>
      <c r="B14" s="637" t="n"/>
      <c r="C14" s="637" t="n"/>
      <c r="D14" s="745" t="n"/>
      <c r="E14" s="442" t="n"/>
      <c r="F14" s="442" t="n"/>
      <c r="G14" s="442" t="n"/>
      <c r="H14" s="442" t="n"/>
      <c r="I14" s="442" t="n"/>
    </row>
    <row r="15" ht="20.25" customFormat="1" customHeight="1" s="43">
      <c r="A15" s="752" t="inlineStr">
        <is>
          <t>□依少年事件處理法第五十九條規定，執行同行或協尋。</t>
        </is>
      </c>
      <c r="B15" s="631" t="n"/>
      <c r="C15" s="631" t="n"/>
      <c r="D15" s="753" t="n"/>
      <c r="E15" s="442" t="n"/>
      <c r="F15" s="442" t="n"/>
    </row>
    <row r="16" ht="50.25" customHeight="1" s="683">
      <c r="A16" s="103" t="inlineStr">
        <is>
          <t>逮捕拘禁時間</t>
        </is>
      </c>
      <c r="B16" s="102">
        <f>下拉用!$J$5</f>
        <v/>
      </c>
      <c r="C16" s="101" t="inlineStr">
        <is>
          <t>逮捕拘禁地點</t>
        </is>
      </c>
      <c r="D16" s="100">
        <f>輸入!$C$7</f>
        <v/>
      </c>
      <c r="E16" s="439" t="n"/>
    </row>
    <row r="17" ht="69" customHeight="1" s="683">
      <c r="A17" s="97" t="inlineStr">
        <is>
          <t>提審規定</t>
        </is>
      </c>
      <c r="B17" s="750" t="inlineStr">
        <is>
          <t>提審法第1條：
　　人民被法院以外之任何機關逮捕、拘禁時，其本人或他人得向逮捕、拘禁地之地方法院聲請提審。但其他法律規定得聲請即時由法院審查者，依其規定。
　　前項聲請及第10條之抗告，免徵費用。</t>
        </is>
      </c>
      <c r="C17" s="626" t="n"/>
      <c r="D17" s="751" t="n"/>
    </row>
    <row r="18" ht="121.5" customHeight="1" s="683">
      <c r="A18" s="97" t="inlineStr">
        <is>
          <t>刑事案件
權利告知</t>
        </is>
      </c>
      <c r="B18" s="750" t="inlineStr">
        <is>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is>
      </c>
      <c r="C18" s="626" t="n"/>
      <c r="D18" s="751" t="n"/>
    </row>
    <row r="19" ht="41.25" customHeight="1" s="683">
      <c r="A19" s="97" t="inlineStr">
        <is>
          <t>被通知人姓名</t>
        </is>
      </c>
      <c r="B19" s="99">
        <f>word用!$H$2</f>
        <v/>
      </c>
      <c r="C19" s="95" t="inlineStr">
        <is>
          <t>簽名捺印</t>
        </is>
      </c>
      <c r="D19" s="98" t="n"/>
    </row>
    <row r="20" ht="41.25" customHeight="1" s="683">
      <c r="A20" s="94" t="inlineStr">
        <is>
          <t>通知時間</t>
        </is>
      </c>
      <c r="B20" s="754">
        <f>下拉用!$J$5</f>
        <v/>
      </c>
      <c r="C20" s="626" t="n"/>
      <c r="D20" s="751" t="n"/>
    </row>
    <row r="21" ht="41.25" customHeight="1" s="683">
      <c r="A21" s="97" t="inlineStr">
        <is>
          <t>通知員警</t>
        </is>
      </c>
      <c r="B21" s="96" t="n"/>
      <c r="C21" s="95" t="inlineStr">
        <is>
          <t>聯絡電話</t>
        </is>
      </c>
      <c r="D21" s="406">
        <f>輸入!$T$21</f>
        <v/>
      </c>
    </row>
    <row r="22" ht="41.25" customHeight="1" s="683" thickBot="1">
      <c r="A22" s="94" t="inlineStr">
        <is>
          <t>通知單位</t>
        </is>
      </c>
      <c r="B22" s="746">
        <f>CONCATENATE(輸入!$S$18,輸入!$T$18,輸入!$S$19,輸入!$T$19,輸入!$S$20,輸入!$T$20)</f>
        <v/>
      </c>
      <c r="C22" s="637" t="n"/>
      <c r="D22" s="745" t="n"/>
    </row>
    <row r="23" ht="41.25" customHeight="1" s="683">
      <c r="A23" s="742" t="inlineStr">
        <is>
          <t>註：一、上述□選項應依條文規定及實際情形正確勾選
　　二、本通知由執行之司法警察（官）蓋用職名章，不必蓋用機關印信。</t>
        </is>
      </c>
      <c r="B23" s="743" t="n"/>
      <c r="C23" s="743" t="n"/>
      <c r="D23" s="743" t="n"/>
    </row>
    <row r="24" ht="39.75" customHeight="1" s="683"/>
  </sheetData>
  <mergeCells count="18">
    <mergeCell ref="A1:D1"/>
    <mergeCell ref="A23:D23"/>
    <mergeCell ref="A9:D9"/>
    <mergeCell ref="A5:D5"/>
    <mergeCell ref="A8:D8"/>
    <mergeCell ref="A6:D6"/>
    <mergeCell ref="B20:D20"/>
    <mergeCell ref="A12:D12"/>
    <mergeCell ref="B22:D22"/>
    <mergeCell ref="A2:D4"/>
    <mergeCell ref="B17:D17"/>
    <mergeCell ref="A15:D15"/>
    <mergeCell ref="B18:D18"/>
    <mergeCell ref="A7:D7"/>
    <mergeCell ref="A11:D11"/>
    <mergeCell ref="A10:D10"/>
    <mergeCell ref="A13:D13"/>
    <mergeCell ref="A14:D14"/>
  </mergeCells>
  <pageMargins left="0.2380952380952381" right="0.1785714285714286" top="0.75" bottom="0.75" header="0.3" footer="0.3"/>
  <pageSetup orientation="portrait" paperSize="9"/>
</worksheet>
</file>

<file path=xl/worksheets/sheet16.xml><?xml version="1.0" encoding="utf-8"?>
<worksheet xmlns="http://schemas.openxmlformats.org/spreadsheetml/2006/main">
  <sheetPr codeName="工作表12">
    <tabColor rgb="FFFF0000"/>
    <outlinePr summaryBelow="1" summaryRight="1"/>
    <pageSetUpPr/>
  </sheetPr>
  <dimension ref="A1:K25"/>
  <sheetViews>
    <sheetView showGridLines="0" showWhiteSpace="0" view="pageBreakPreview" topLeftCell="A13" zoomScaleNormal="100" zoomScaleSheetLayoutView="100" zoomScalePageLayoutView="40" workbookViewId="0">
      <selection activeCell="B21" sqref="B21"/>
    </sheetView>
  </sheetViews>
  <sheetFormatPr baseColWidth="8" defaultRowHeight="16.5"/>
  <cols>
    <col width="24.75" customWidth="1" style="683" min="1" max="4"/>
    <col width="8.625" customWidth="1" style="683" min="5" max="6"/>
    <col width="9.75" customWidth="1" style="683" min="9" max="9"/>
  </cols>
  <sheetData>
    <row r="1" ht="51" customHeight="1" s="683">
      <c r="A1" s="739">
        <f>CONCATENATE(,輸入!$S$18,輸入!$T$18,輸入!$S$19,輸入!$T$19,"執行逮捕、拘禁告知親友通知書")</f>
        <v/>
      </c>
      <c r="B1" s="740" t="n"/>
      <c r="C1" s="740" t="n"/>
      <c r="D1" s="741" t="n"/>
      <c r="E1" s="104" t="n"/>
      <c r="F1" s="104" t="n"/>
      <c r="G1" s="104" t="n"/>
      <c r="H1" s="104" t="n"/>
      <c r="I1" s="104" t="n"/>
    </row>
    <row r="2" ht="27" customHeight="1" s="683">
      <c r="A2" s="747">
        <f>CONCATENATE((word用!$H$2),IF(word用!$R$2="男"," 先生"," 女士"),"因涉 ",呈報單!$G$15," 案件，經",輸入!$S$18,輸入!$T$18,輸入!$S$19,輸入!$T$19,"，依下列法律之規定逮捕或拘禁，特此通知：")</f>
        <v/>
      </c>
      <c r="B2" s="628" t="n"/>
      <c r="C2" s="628" t="n"/>
      <c r="D2" s="748" t="n"/>
      <c r="E2" s="442" t="n"/>
      <c r="F2" s="442" t="n"/>
      <c r="G2" s="442" t="n"/>
      <c r="H2" s="442" t="n"/>
      <c r="I2" s="442" t="n"/>
      <c r="J2" s="442" t="n"/>
      <c r="K2" s="442" t="n"/>
    </row>
    <row r="3" ht="12" customHeight="1" s="683">
      <c r="A3" s="749" t="n"/>
      <c r="B3" s="637" t="n"/>
      <c r="C3" s="637" t="n"/>
      <c r="D3" s="745" t="n"/>
      <c r="E3" s="442" t="n"/>
      <c r="F3" s="442" t="n"/>
      <c r="G3" s="442" t="n"/>
      <c r="H3" s="442" t="n"/>
      <c r="I3" s="442" t="n"/>
      <c r="J3" s="442" t="n"/>
      <c r="K3" s="442" t="n"/>
    </row>
    <row r="4" ht="15" customHeight="1" s="683">
      <c r="A4" s="749" t="n"/>
      <c r="B4" s="637" t="n"/>
      <c r="C4" s="637" t="n"/>
      <c r="D4" s="745" t="n"/>
      <c r="E4" s="442" t="n"/>
      <c r="F4" s="442" t="n"/>
      <c r="G4" s="442" t="n"/>
      <c r="H4" s="442" t="n"/>
      <c r="I4" s="442" t="n"/>
      <c r="J4" s="442" t="n"/>
      <c r="K4" s="442" t="n"/>
    </row>
    <row r="5" ht="20.25" customFormat="1" customHeight="1" s="43">
      <c r="A5" s="744" t="inlineStr">
        <is>
          <t>□依刑事訴訟法第七十一條之一規定，聲請檢察官核發拘票拘提。</t>
        </is>
      </c>
      <c r="B5" s="637" t="n"/>
      <c r="C5" s="637" t="n"/>
      <c r="D5" s="745" t="n"/>
      <c r="E5" s="442" t="n"/>
      <c r="F5" s="442" t="n"/>
      <c r="G5" s="442" t="n"/>
      <c r="H5" s="442" t="n"/>
      <c r="I5" s="442" t="n"/>
    </row>
    <row r="6" ht="20.25" customFormat="1" customHeight="1" s="43">
      <c r="A6" s="744" t="inlineStr">
        <is>
          <t>□依刑事訴訟法第七十五條或第七十六條規定，執行拘提。</t>
        </is>
      </c>
      <c r="B6" s="637" t="n"/>
      <c r="C6" s="637" t="n"/>
      <c r="D6" s="745" t="n"/>
      <c r="E6" s="442" t="n"/>
      <c r="F6" s="442" t="n"/>
      <c r="G6" s="442" t="n"/>
      <c r="H6" s="442" t="n"/>
      <c r="I6" s="442" t="n"/>
    </row>
    <row r="7" ht="20.25" customFormat="1" customHeight="1" s="43">
      <c r="A7" s="744">
        <f>IF(輸入!$C$2="通緝","■依刑事訴訟法第八十七條規定，因通緝而拘提或逕行逮捕。","□依刑事訴訟法第八十七條規定，因通緝而拘提或逕行逮捕。")</f>
        <v/>
      </c>
      <c r="B7" s="637" t="n"/>
      <c r="C7" s="637" t="n"/>
      <c r="D7" s="745" t="n"/>
      <c r="E7" s="442" t="n"/>
      <c r="F7" s="442" t="n"/>
      <c r="G7" s="442" t="n"/>
      <c r="H7" s="442" t="n"/>
      <c r="I7" s="442" t="n"/>
    </row>
    <row r="8" ht="20.25" customFormat="1" customHeight="1" s="43">
      <c r="A8" s="744">
        <f>IF(輸入!$C$2="通緝","□依刑事訴訟法第八十八條規定，因屬現行犯而逕行逮捕。","■依刑事訴訟法第八十八條規定，因屬現行犯而逕行逮捕。")</f>
        <v/>
      </c>
      <c r="B8" s="637" t="n"/>
      <c r="C8" s="637" t="n"/>
      <c r="D8" s="745" t="n"/>
      <c r="E8" s="442" t="n"/>
      <c r="F8" s="442" t="n"/>
      <c r="G8" s="442" t="n"/>
      <c r="H8" s="442" t="n"/>
      <c r="I8" s="442" t="n"/>
    </row>
    <row r="9" ht="20.25" customFormat="1" customHeight="1" s="43">
      <c r="A9" s="744" t="inlineStr">
        <is>
          <t>□依刑事訴訟法第八十八條之1規定，逕行拘提。</t>
        </is>
      </c>
      <c r="B9" s="637" t="n"/>
      <c r="C9" s="637" t="n"/>
      <c r="D9" s="745" t="n"/>
      <c r="E9" s="442" t="n"/>
      <c r="F9" s="442" t="n"/>
      <c r="G9" s="442" t="n"/>
      <c r="H9" s="442" t="n"/>
      <c r="I9" s="442" t="n"/>
    </row>
    <row r="10" ht="20.25" customFormat="1" customHeight="1" s="43">
      <c r="A10" s="744" t="inlineStr">
        <is>
          <t>□依家庭暴力防治法第二十九條第一項規定，因屬現行犯而逕行逮捕。</t>
        </is>
      </c>
      <c r="B10" s="637" t="n"/>
      <c r="C10" s="637" t="n"/>
      <c r="D10" s="745" t="n"/>
      <c r="E10" s="442" t="n"/>
      <c r="F10" s="442" t="n"/>
      <c r="G10" s="442" t="n"/>
      <c r="H10" s="442" t="n"/>
      <c r="I10" s="442" t="n"/>
      <c r="J10" s="442" t="n"/>
    </row>
    <row r="11" ht="20.25" customFormat="1" customHeight="1" s="43">
      <c r="A11" s="744" t="inlineStr">
        <is>
          <t>□依家庭暴力防治法第二十九條第二項規定，逕行拘提。</t>
        </is>
      </c>
      <c r="B11" s="637" t="n"/>
      <c r="C11" s="637" t="n"/>
      <c r="D11" s="745" t="n"/>
      <c r="E11" s="442" t="n"/>
      <c r="F11" s="442" t="n"/>
      <c r="G11" s="442" t="n"/>
      <c r="H11" s="442" t="n"/>
      <c r="I11" s="442" t="n"/>
    </row>
    <row r="12" ht="20.25" customFormat="1" customHeight="1" s="43">
      <c r="A12" s="744" t="inlineStr">
        <is>
          <t>□依社會秩序維護法第四十二條規定，強制到場。</t>
        </is>
      </c>
      <c r="B12" s="637" t="n"/>
      <c r="C12" s="637" t="n"/>
      <c r="D12" s="745" t="n"/>
      <c r="E12" s="442" t="n"/>
      <c r="F12" s="442" t="n"/>
      <c r="G12" s="442" t="n"/>
      <c r="H12" s="442" t="n"/>
      <c r="I12" s="442" t="n"/>
    </row>
    <row r="13" ht="20.25" customFormat="1" customHeight="1" s="43">
      <c r="A13" s="744" t="inlineStr">
        <is>
          <t>□依少年事件處理法第二十三條規定，執行同行。</t>
        </is>
      </c>
      <c r="B13" s="637" t="n"/>
      <c r="C13" s="637" t="n"/>
      <c r="D13" s="745" t="n"/>
      <c r="E13" s="442" t="n"/>
      <c r="F13" s="442" t="n"/>
      <c r="G13" s="442" t="n"/>
      <c r="H13" s="442" t="n"/>
      <c r="I13" s="442" t="n"/>
    </row>
    <row r="14" ht="20.25" customFormat="1" customHeight="1" s="43">
      <c r="A14" s="744" t="inlineStr">
        <is>
          <t>□依少年事件處理法第二十三條之一規定，執行協尋。</t>
        </is>
      </c>
      <c r="B14" s="637" t="n"/>
      <c r="C14" s="637" t="n"/>
      <c r="D14" s="745" t="n"/>
      <c r="E14" s="442" t="n"/>
      <c r="F14" s="442" t="n"/>
      <c r="G14" s="442" t="n"/>
      <c r="H14" s="442" t="n"/>
      <c r="I14" s="442" t="n"/>
    </row>
    <row r="15" ht="20.25" customFormat="1" customHeight="1" s="43">
      <c r="A15" s="752" t="inlineStr">
        <is>
          <t>□依少年事件處理法第五十九條規定，執行同行或協尋。</t>
        </is>
      </c>
      <c r="B15" s="631" t="n"/>
      <c r="C15" s="631" t="n"/>
      <c r="D15" s="753" t="n"/>
      <c r="E15" s="442" t="n"/>
      <c r="F15" s="442" t="n"/>
    </row>
    <row r="16" ht="50.25" customHeight="1" s="683">
      <c r="A16" s="103" t="inlineStr">
        <is>
          <t>逮捕拘禁時間</t>
        </is>
      </c>
      <c r="B16" s="102">
        <f>下拉用!$J$5</f>
        <v/>
      </c>
      <c r="C16" s="101" t="inlineStr">
        <is>
          <t>逮捕拘禁地點</t>
        </is>
      </c>
      <c r="D16" s="100">
        <f>輸入!$C$7</f>
        <v/>
      </c>
      <c r="E16" s="439" t="n"/>
    </row>
    <row r="17" ht="68.25" customHeight="1" s="683">
      <c r="A17" s="97" t="inlineStr">
        <is>
          <t>提審規定</t>
        </is>
      </c>
      <c r="B17" s="750" t="inlineStr">
        <is>
          <t>提審法第1條：
　　人民被法院以外之任何機關逮捕、拘禁時，其本人或他人得向逮捕、拘禁地之地方法院聲請提審。但其他法律規定得聲請即時由法院審查者，依其規定。
　　前項聲請及第10條之抗告，免徵費用。</t>
        </is>
      </c>
      <c r="C17" s="626" t="n"/>
      <c r="D17" s="751" t="n"/>
    </row>
    <row r="18" ht="122.25" customHeight="1" s="683">
      <c r="A18" s="97" t="inlineStr">
        <is>
          <t>刑事案件
權利告知</t>
        </is>
      </c>
      <c r="B18" s="750" t="inlineStr">
        <is>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is>
      </c>
      <c r="C18" s="626" t="n"/>
      <c r="D18" s="751" t="n"/>
    </row>
    <row r="19" ht="41.25" customHeight="1" s="683">
      <c r="A19" s="97" t="inlineStr">
        <is>
          <t>被通知人姓名</t>
        </is>
      </c>
      <c r="B19" s="99" t="n"/>
      <c r="C19" s="95" t="inlineStr">
        <is>
          <t>簽名捺印</t>
        </is>
      </c>
      <c r="D19" s="98" t="n"/>
    </row>
    <row r="20" ht="41.25" customHeight="1" s="683">
      <c r="A20" s="94" t="inlineStr">
        <is>
          <t>通知時間</t>
        </is>
      </c>
      <c r="B20" s="754">
        <f>下拉用!$J$5</f>
        <v/>
      </c>
      <c r="C20" s="626" t="n"/>
      <c r="D20" s="751" t="n"/>
    </row>
    <row r="21" ht="41.25" customHeight="1" s="683">
      <c r="A21" s="97" t="inlineStr">
        <is>
          <t>通知員警</t>
        </is>
      </c>
      <c r="B21" s="96" t="n"/>
      <c r="C21" s="95" t="inlineStr">
        <is>
          <t>聯絡電話</t>
        </is>
      </c>
      <c r="D21" s="406">
        <f>輸入!$T$21</f>
        <v/>
      </c>
    </row>
    <row r="22" ht="41.25" customHeight="1" s="683" thickBot="1">
      <c r="A22" s="105" t="inlineStr">
        <is>
          <t>通知單位</t>
        </is>
      </c>
      <c r="B22" s="755">
        <f>CONCATENATE(輸入!$S$18,輸入!$T$18,輸入!$S$19,輸入!$T$19,輸入!$S$20,輸入!$T$20)</f>
        <v/>
      </c>
      <c r="C22" s="756" t="n"/>
      <c r="D22" s="757" t="n"/>
    </row>
    <row r="23" ht="41.25" customHeight="1" s="683">
      <c r="A23" s="742" t="inlineStr">
        <is>
          <t>註：一、上述□選項應依條文規定及實際情形正確勾選
　　二、本通知由執行之司法警察（官）蓋用職名章，不必蓋用機關印信。</t>
        </is>
      </c>
      <c r="B23" s="743" t="n"/>
      <c r="C23" s="743" t="n"/>
      <c r="D23" s="743" t="n"/>
    </row>
    <row r="24" ht="41.25" customHeight="1" s="683"/>
    <row r="25" ht="39.75" customHeight="1" s="683">
      <c r="A25" s="6" t="n"/>
      <c r="B25" s="6" t="n"/>
      <c r="C25" s="6" t="n"/>
      <c r="D25" s="6" t="n"/>
    </row>
  </sheetData>
  <mergeCells count="18">
    <mergeCell ref="A1:D1"/>
    <mergeCell ref="A23:D23"/>
    <mergeCell ref="A9:D9"/>
    <mergeCell ref="A5:D5"/>
    <mergeCell ref="A8:D8"/>
    <mergeCell ref="A6:D6"/>
    <mergeCell ref="B20:D20"/>
    <mergeCell ref="A12:D12"/>
    <mergeCell ref="B22:D22"/>
    <mergeCell ref="A2:D4"/>
    <mergeCell ref="B17:D17"/>
    <mergeCell ref="B18:D18"/>
    <mergeCell ref="A15:D15"/>
    <mergeCell ref="A7:D7"/>
    <mergeCell ref="A11:D11"/>
    <mergeCell ref="A10:D10"/>
    <mergeCell ref="A13:D13"/>
    <mergeCell ref="A14:D14"/>
  </mergeCells>
  <pageMargins left="0.2232142857142857" right="0.193452380952381" top="0.75" bottom="0.75" header="0.3" footer="0.3"/>
  <pageSetup orientation="portrait" paperSize="9"/>
</worksheet>
</file>

<file path=xl/worksheets/sheet17.xml><?xml version="1.0" encoding="utf-8"?>
<worksheet xmlns="http://schemas.openxmlformats.org/spreadsheetml/2006/main">
  <sheetPr codeName="工作表13">
    <tabColor rgb="FFFF0000"/>
    <outlinePr summaryBelow="1" summaryRight="1"/>
    <pageSetUpPr/>
  </sheetPr>
  <dimension ref="A1:X23"/>
  <sheetViews>
    <sheetView showGridLines="0" view="pageBreakPreview" zoomScale="115" zoomScaleNormal="85" zoomScaleSheetLayoutView="115" workbookViewId="0">
      <selection activeCell="A22" sqref="A22:X22"/>
    </sheetView>
  </sheetViews>
  <sheetFormatPr baseColWidth="8" defaultRowHeight="16.5"/>
  <cols>
    <col width="3.5" customWidth="1" style="683" min="1" max="36"/>
  </cols>
  <sheetData>
    <row r="1" ht="50.25" customHeight="1" s="683">
      <c r="A1" s="764" t="inlineStr">
        <is>
          <t xml:space="preserve">   得 聲 請 提 審 告 知 書</t>
        </is>
      </c>
    </row>
    <row r="2" ht="20.25" customHeight="1" s="683">
      <c r="A2" s="110" t="n"/>
    </row>
    <row r="3" ht="27.75" customHeight="1" s="683">
      <c r="A3" s="765">
        <f>CONCATENATE((word用!$H$2),IF(word用!$R$2="男","  先生","  女士"))</f>
        <v/>
      </c>
    </row>
    <row r="4" ht="27.75" customHeight="1" s="683"/>
    <row r="5" ht="11.25" customHeight="1" s="683">
      <c r="A5" s="109" t="n"/>
    </row>
    <row r="6" ht="41.25" customFormat="1" customHeight="1" s="762">
      <c r="A6" s="759">
        <f>CONCATENATE("　　臺端因涉嫌 ",呈報單!$G$15," 等罪名，","於 民國",下拉用!$J$5," 在 ",輸入!$C$7," 為本分局員警逮(拘)捕必須接受偵訊，依提審法第1條：")</f>
        <v/>
      </c>
    </row>
    <row r="7" ht="41.25" customFormat="1" customHeight="1" s="762"/>
    <row r="8" ht="41.25" customFormat="1" customHeight="1" s="762"/>
    <row r="9" ht="41.25" customFormat="1" customHeight="1" s="762"/>
    <row r="10" ht="12.75" customFormat="1" customHeight="1" s="760">
      <c r="A10" s="108" t="n"/>
      <c r="B10" s="108" t="n"/>
      <c r="C10" s="108" t="n"/>
      <c r="D10" s="108" t="n"/>
      <c r="E10" s="108" t="n"/>
      <c r="F10" s="108" t="n"/>
      <c r="G10" s="108" t="n"/>
      <c r="H10" s="108" t="n"/>
      <c r="I10" s="108" t="n"/>
      <c r="J10" s="108" t="n"/>
      <c r="K10" s="108" t="n"/>
      <c r="L10" s="108" t="n"/>
      <c r="M10" s="108" t="n"/>
      <c r="N10" s="108" t="n"/>
      <c r="O10" s="108" t="n"/>
      <c r="P10" s="108" t="n"/>
      <c r="Q10" s="108" t="n"/>
      <c r="R10" s="108" t="n"/>
      <c r="S10" s="108" t="n"/>
      <c r="T10" s="108" t="n"/>
      <c r="U10" s="108" t="n"/>
      <c r="V10" s="108" t="n"/>
      <c r="W10" s="108" t="n"/>
      <c r="X10" s="108" t="n"/>
    </row>
    <row r="11" ht="55.5" customFormat="1" customHeight="1" s="760">
      <c r="A11" s="759" t="inlineStr">
        <is>
          <t xml:space="preserve">   人民被法院以外之任何機關逮捕、拘禁時，其本人或他人得向逮捕、拘禁地之地方法院聲請提審。但其他法律規定得聲請即時由法院審查者，依其規定。</t>
        </is>
      </c>
    </row>
    <row r="12" ht="55.5" customFormat="1" customHeight="1" s="760"/>
    <row r="13" ht="55.5" customFormat="1" customHeight="1" s="760"/>
    <row r="14" ht="6.75" customFormat="1" customHeight="1" s="760">
      <c r="A14" s="759" t="n"/>
      <c r="B14" s="759" t="n"/>
      <c r="C14" s="759" t="n"/>
      <c r="D14" s="759" t="n"/>
      <c r="E14" s="759" t="n"/>
      <c r="F14" s="759" t="n"/>
      <c r="G14" s="759" t="n"/>
      <c r="H14" s="759" t="n"/>
      <c r="I14" s="759" t="n"/>
      <c r="J14" s="759" t="n"/>
      <c r="K14" s="759" t="n"/>
      <c r="L14" s="759" t="n"/>
      <c r="M14" s="759" t="n"/>
      <c r="N14" s="759" t="n"/>
      <c r="O14" s="759" t="n"/>
      <c r="P14" s="759" t="n"/>
      <c r="Q14" s="759" t="n"/>
      <c r="R14" s="759" t="n"/>
      <c r="S14" s="759" t="n"/>
      <c r="T14" s="759" t="n"/>
      <c r="U14" s="759" t="n"/>
      <c r="V14" s="759" t="n"/>
      <c r="W14" s="759" t="n"/>
      <c r="X14" s="759" t="n"/>
    </row>
    <row r="15" ht="41.25" customFormat="1" customHeight="1" s="760">
      <c r="A15" s="758" t="inlineStr">
        <is>
          <t xml:space="preserve">　　前項聲請及第10條之抗告，免徵費用。</t>
        </is>
      </c>
    </row>
    <row r="16" ht="41.25" customHeight="1" s="683">
      <c r="A16" s="761" t="inlineStr">
        <is>
          <t xml:space="preserve">　　被逮捕、拘禁之人：                  (簽章)</t>
        </is>
      </c>
    </row>
    <row r="17" ht="41.25" customHeight="1" s="683">
      <c r="A17" s="761" t="inlineStr">
        <is>
          <t xml:space="preserve">　　　是否需告知指定親友：</t>
        </is>
      </c>
    </row>
    <row r="18" ht="35.25" customHeight="1" s="683">
      <c r="A18" s="761" t="inlineStr">
        <is>
          <t xml:space="preserve">       □是，指定親友姓名            關係</t>
        </is>
      </c>
    </row>
    <row r="19" ht="35.25" customHeight="1" s="683">
      <c r="A19" s="763" t="inlineStr">
        <is>
          <t xml:space="preserve">　　　　 □不用。              (簽章)</t>
        </is>
      </c>
    </row>
    <row r="20" ht="35.25" customHeight="1" s="683">
      <c r="A20" s="758" t="inlineStr">
        <is>
          <t xml:space="preserve">　　司法警察官或司法警察：</t>
        </is>
      </c>
    </row>
    <row r="21" ht="13.5" customHeight="1" s="683">
      <c r="A21" s="107" t="n"/>
    </row>
    <row r="22" ht="39" customHeight="1" s="683">
      <c r="A22" s="758">
        <f>CONCATENATE("　　告知時間:",下拉用!$J$5,"")</f>
        <v/>
      </c>
    </row>
    <row r="23">
      <c r="A23" s="106" t="n"/>
    </row>
  </sheetData>
  <mergeCells count="11">
    <mergeCell ref="A20:X20"/>
    <mergeCell ref="A11:X13"/>
    <mergeCell ref="A16:X16"/>
    <mergeCell ref="A15:X15"/>
    <mergeCell ref="A6:X9"/>
    <mergeCell ref="A19:X19"/>
    <mergeCell ref="A1:X1"/>
    <mergeCell ref="A3:I4"/>
    <mergeCell ref="A22:X22"/>
    <mergeCell ref="A17:X17"/>
    <mergeCell ref="A18:X18"/>
  </mergeCells>
  <pageMargins left="0.7" right="0.7" top="0.75" bottom="0.75" header="0.3" footer="0.3"/>
  <pageSetup orientation="portrait" paperSize="9"/>
</worksheet>
</file>

<file path=xl/worksheets/sheet18.xml><?xml version="1.0" encoding="utf-8"?>
<worksheet xmlns="http://schemas.openxmlformats.org/spreadsheetml/2006/main">
  <sheetPr codeName="工作表14">
    <tabColor rgb="FFFF0000"/>
    <outlinePr summaryBelow="1" summaryRight="1"/>
    <pageSetUpPr/>
  </sheetPr>
  <dimension ref="A1:R48"/>
  <sheetViews>
    <sheetView showGridLines="0" view="pageBreakPreview" zoomScaleNormal="100" zoomScaleSheetLayoutView="100" workbookViewId="0">
      <selection activeCell="B9" sqref="B9"/>
    </sheetView>
  </sheetViews>
  <sheetFormatPr baseColWidth="8" defaultRowHeight="16.5"/>
  <cols>
    <col width="7.375" customWidth="1" style="683" min="1" max="1"/>
    <col width="14.375" customWidth="1" style="683" min="2" max="2"/>
    <col width="3.5" customWidth="1" style="683" min="3" max="3"/>
    <col width="11.125" customWidth="1" style="683" min="4" max="4"/>
    <col width="5.75" customWidth="1" style="683" min="5" max="5"/>
    <col width="14.75" customWidth="1" style="683" min="6" max="6"/>
    <col width="22.875" customWidth="1" style="683" min="7" max="7"/>
    <col width="5.25" customWidth="1" style="683" min="8" max="8"/>
    <col width="4" customWidth="1" style="683" min="9" max="9"/>
    <col width="3.75" customWidth="1" style="683" min="10" max="15"/>
    <col width="5.125" customWidth="1" style="683" min="16" max="16"/>
    <col width="16.875" customWidth="1" style="683" min="17" max="17"/>
    <col width="7.375" customWidth="1" style="683" min="18" max="18"/>
  </cols>
  <sheetData>
    <row r="1" ht="6" customHeight="1" s="683">
      <c r="A1" s="144" t="n"/>
      <c r="B1" s="144" t="n"/>
      <c r="C1" s="144" t="n"/>
      <c r="D1" s="144" t="n"/>
      <c r="E1" s="144" t="n"/>
      <c r="F1" s="144" t="n"/>
      <c r="G1" s="144" t="n"/>
      <c r="H1" s="144" t="n"/>
      <c r="I1" s="144" t="n"/>
      <c r="J1" s="144" t="n"/>
      <c r="K1" s="144" t="n"/>
      <c r="L1" s="144" t="n"/>
      <c r="M1" s="144" t="n"/>
      <c r="N1" s="144" t="n"/>
      <c r="O1" s="144" t="n"/>
      <c r="P1" s="144" t="n"/>
      <c r="Q1" s="144" t="n"/>
      <c r="R1" s="144" t="n"/>
    </row>
    <row r="2" ht="21" customHeight="1" s="683"/>
    <row r="3" ht="21" customHeight="1" s="683" thickBot="1">
      <c r="A3" s="143" t="n"/>
      <c r="B3" s="143" t="n"/>
      <c r="C3" s="143" t="n"/>
      <c r="D3" s="143" t="n"/>
      <c r="E3" s="143" t="n"/>
      <c r="F3" s="143" t="n"/>
      <c r="G3" s="143" t="n"/>
      <c r="H3" s="143" t="n"/>
      <c r="I3" s="143" t="n"/>
      <c r="J3" s="143" t="n"/>
      <c r="K3" s="143" t="n"/>
      <c r="L3" s="143" t="n"/>
      <c r="M3" s="143" t="n"/>
      <c r="N3" s="143" t="n"/>
      <c r="O3" s="143" t="n"/>
      <c r="P3" s="143" t="n"/>
      <c r="Q3" s="143" t="n"/>
      <c r="R3" s="143" t="n"/>
    </row>
    <row r="4" ht="25.5" customHeight="1" s="683">
      <c r="B4" s="774">
        <f>CONCATENATE(輸入!$S$18,輸入!$T$18,輸入!$S$19,輸入!$T$19,"候詢人入所通知單")</f>
        <v/>
      </c>
      <c r="C4" s="734" t="n"/>
      <c r="D4" s="734" t="n"/>
      <c r="E4" s="734" t="n"/>
      <c r="F4" s="734" t="n"/>
      <c r="G4" s="734" t="n"/>
      <c r="H4" s="734" t="n"/>
      <c r="I4" s="775">
        <f>CONCATENATE("填單：",LEFT(下拉用!$J$5,10))</f>
        <v/>
      </c>
      <c r="J4" s="734" t="n"/>
      <c r="K4" s="734" t="n"/>
      <c r="L4" s="734" t="n"/>
      <c r="M4" s="734" t="n"/>
      <c r="N4" s="734" t="n"/>
      <c r="O4" s="734" t="n"/>
      <c r="P4" s="734" t="n"/>
      <c r="Q4" s="142" t="n"/>
      <c r="R4" s="13" t="inlineStr">
        <is>
          <t xml:space="preserve">  </t>
        </is>
      </c>
    </row>
    <row r="5" ht="19.5" customHeight="1" s="683">
      <c r="B5" s="441" t="inlineStr">
        <is>
          <t xml:space="preserve">　　　　　　　　　　　　　　　　　　　　　　　　　　　　　　            </t>
        </is>
      </c>
      <c r="C5" s="442" t="n"/>
      <c r="D5" s="442" t="n"/>
      <c r="E5" s="442" t="n"/>
      <c r="F5" s="442" t="n"/>
      <c r="G5" s="442" t="n"/>
      <c r="H5" s="442" t="n"/>
      <c r="I5" s="768" t="inlineStr">
        <is>
          <t>編號：</t>
        </is>
      </c>
      <c r="J5" s="585" t="n"/>
      <c r="K5" s="585" t="n"/>
      <c r="L5" s="585" t="n"/>
      <c r="M5" s="585" t="n"/>
      <c r="N5" s="585" t="n"/>
      <c r="O5" s="585" t="n"/>
      <c r="P5" s="442" t="n"/>
      <c r="Q5" s="443" t="n"/>
      <c r="R5" s="442" t="n"/>
    </row>
    <row r="6" ht="19.5" customHeight="1" s="683">
      <c r="B6" s="776" t="inlineStr">
        <is>
          <t>姓名</t>
        </is>
      </c>
      <c r="C6" s="767" t="inlineStr">
        <is>
          <t>性
別</t>
        </is>
      </c>
      <c r="D6" s="767" t="inlineStr">
        <is>
          <t>出生
年月日</t>
        </is>
      </c>
      <c r="E6" s="767" t="inlineStr">
        <is>
          <t>職業</t>
        </is>
      </c>
      <c r="F6" s="767" t="inlineStr">
        <is>
          <t>身分證
統一編號</t>
        </is>
      </c>
      <c r="G6" s="767" t="inlineStr">
        <is>
          <t>住居所</t>
        </is>
      </c>
      <c r="H6" s="767" t="inlineStr">
        <is>
          <t>拘留
日數</t>
        </is>
      </c>
      <c r="I6" s="581" t="inlineStr">
        <is>
          <t>拘提逮捕</t>
        </is>
      </c>
      <c r="J6" s="579" t="n"/>
      <c r="K6" s="576" t="n"/>
      <c r="L6" s="767" t="inlineStr">
        <is>
          <t>入所時間</t>
        </is>
      </c>
      <c r="M6" s="579" t="n"/>
      <c r="N6" s="579" t="n"/>
      <c r="O6" s="576" t="n"/>
      <c r="P6" s="767" t="inlineStr">
        <is>
          <t>准否接見</t>
        </is>
      </c>
      <c r="Q6" s="141" t="inlineStr">
        <is>
          <t>備考</t>
        </is>
      </c>
      <c r="R6" s="1156" t="n"/>
    </row>
    <row r="7" ht="19.5" customHeight="1" s="683">
      <c r="B7" s="777" t="n"/>
      <c r="C7" s="588" t="n"/>
      <c r="D7" s="588" t="n"/>
      <c r="E7" s="588" t="n"/>
      <c r="F7" s="588" t="n"/>
      <c r="G7" s="588" t="n"/>
      <c r="H7" s="588" t="n"/>
      <c r="I7" s="581" t="inlineStr">
        <is>
          <t>月</t>
        </is>
      </c>
      <c r="J7" s="581" t="inlineStr">
        <is>
          <t>日</t>
        </is>
      </c>
      <c r="K7" s="581" t="inlineStr">
        <is>
          <t>時</t>
        </is>
      </c>
      <c r="L7" s="581" t="inlineStr">
        <is>
          <t>月</t>
        </is>
      </c>
      <c r="M7" s="581" t="inlineStr">
        <is>
          <t>日</t>
        </is>
      </c>
      <c r="N7" s="581" t="inlineStr">
        <is>
          <t>時</t>
        </is>
      </c>
      <c r="O7" s="581" t="inlineStr">
        <is>
          <t>分</t>
        </is>
      </c>
      <c r="P7" s="588" t="n"/>
      <c r="Q7" s="140" t="inlineStr">
        <is>
          <t>（捺指紋）</t>
        </is>
      </c>
      <c r="R7" s="1156" t="n"/>
    </row>
    <row r="8" ht="39" customHeight="1" s="683">
      <c r="B8" s="136" t="n"/>
      <c r="C8" s="664">
        <f>IFERROR(VLOOKUP($B8,個資,11,FALSE),"")</f>
        <v/>
      </c>
      <c r="D8" s="664">
        <f>IFERROR(VLOOKUP($B8,個資,16,FALSE),"")</f>
        <v/>
      </c>
      <c r="E8" s="581">
        <f>IFERROR(VLOOKUP($B8,個資,8,FALSE),"")</f>
        <v/>
      </c>
      <c r="F8" s="664">
        <f>IFERROR(VLOOKUP($B8,個資,2,FALSE),"")</f>
        <v/>
      </c>
      <c r="G8" s="139">
        <f>IFERROR(VLOOKUP($B8,個資,6,FALSE),"")</f>
        <v/>
      </c>
      <c r="H8" s="664" t="n"/>
      <c r="I8" s="664">
        <f>IF(ISBLANK($B8)," ",MID(輸入!$C$11,4,2))</f>
        <v/>
      </c>
      <c r="J8" s="664">
        <f>IF(ISBLANK($B8)," ",MID(輸入!$C$11,6,2))</f>
        <v/>
      </c>
      <c r="K8" s="664">
        <f>IF(ISBLANK($B8)," ",MID(輸入!$C$11,8,2))</f>
        <v/>
      </c>
      <c r="L8" s="138" t="n"/>
      <c r="M8" s="138" t="n"/>
      <c r="N8" s="137" t="n"/>
      <c r="O8" s="137" t="n"/>
      <c r="P8" s="991" t="n"/>
      <c r="Q8" s="135" t="n"/>
      <c r="R8" s="442" t="n"/>
    </row>
    <row r="9" ht="39" customHeight="1" s="683">
      <c r="B9" s="136" t="n"/>
      <c r="C9" s="664">
        <f>IFERROR(VLOOKUP($B9,個資,11,FALSE),"")</f>
        <v/>
      </c>
      <c r="D9" s="664">
        <f>IFERROR(VLOOKUP($B9,個資,16,FALSE),"")</f>
        <v/>
      </c>
      <c r="E9" s="581">
        <f>IFERROR(VLOOKUP($B9,個資,8,FALSE),"")</f>
        <v/>
      </c>
      <c r="F9" s="664">
        <f>IFERROR(VLOOKUP($B9,個資,2,FALSE),"")</f>
        <v/>
      </c>
      <c r="G9" s="139">
        <f>IFERROR(VLOOKUP($B9,個資,6,FALSE),"")</f>
        <v/>
      </c>
      <c r="H9" s="664" t="n"/>
      <c r="I9" s="664">
        <f>IF(ISBLANK($B9)," ",MID(輸入!$C$11,4,2))</f>
        <v/>
      </c>
      <c r="J9" s="664">
        <f>IF(ISBLANK($B9)," ",MID(輸入!$C$11,6,2))</f>
        <v/>
      </c>
      <c r="K9" s="664">
        <f>IF(ISBLANK($B9)," ",MID(輸入!$C$11,8,2))</f>
        <v/>
      </c>
      <c r="L9" s="664" t="n"/>
      <c r="M9" s="664" t="n"/>
      <c r="N9" s="991" t="n"/>
      <c r="O9" s="991" t="n"/>
      <c r="P9" s="991" t="n"/>
      <c r="Q9" s="135" t="n"/>
      <c r="R9" s="442" t="n"/>
    </row>
    <row r="10" ht="39" customHeight="1" s="683">
      <c r="B10" s="136" t="n"/>
      <c r="C10" s="664">
        <f>IFERROR(VLOOKUP($B10,個資,11,FALSE),"")</f>
        <v/>
      </c>
      <c r="D10" s="664">
        <f>IFERROR(VLOOKUP($B10,個資,16,FALSE),"")</f>
        <v/>
      </c>
      <c r="E10" s="581">
        <f>IFERROR(VLOOKUP($B10,個資,8,FALSE),"")</f>
        <v/>
      </c>
      <c r="F10" s="664">
        <f>IFERROR(VLOOKUP($B10,個資,2,FALSE),"")</f>
        <v/>
      </c>
      <c r="G10" s="139">
        <f>IFERROR(VLOOKUP($B10,個資,6,FALSE),"")</f>
        <v/>
      </c>
      <c r="H10" s="991" t="n"/>
      <c r="I10" s="664">
        <f>IF(ISBLANK($B10)," ",MID(輸入!$C$11,4,2))</f>
        <v/>
      </c>
      <c r="J10" s="664">
        <f>IF(ISBLANK($B10)," ",MID(輸入!$C$11,6,2))</f>
        <v/>
      </c>
      <c r="K10" s="664">
        <f>IF(ISBLANK($B10)," ",MID(輸入!$C$11,8,2))</f>
        <v/>
      </c>
      <c r="L10" s="664" t="n"/>
      <c r="M10" s="664" t="n"/>
      <c r="N10" s="991" t="n"/>
      <c r="O10" s="991" t="n"/>
      <c r="P10" s="991" t="n"/>
      <c r="Q10" s="135" t="n"/>
      <c r="R10" s="442" t="n"/>
    </row>
    <row r="11" ht="39" customHeight="1" s="683">
      <c r="B11" s="136" t="n"/>
      <c r="C11" s="664">
        <f>IFERROR(VLOOKUP($B11,個資,11,FALSE),"")</f>
        <v/>
      </c>
      <c r="D11" s="664">
        <f>IFERROR(VLOOKUP($B11,個資,16,FALSE),"")</f>
        <v/>
      </c>
      <c r="E11" s="581">
        <f>IFERROR(VLOOKUP($B11,個資,8,FALSE),"")</f>
        <v/>
      </c>
      <c r="F11" s="664">
        <f>IFERROR(VLOOKUP($B11,個資,2,FALSE),"")</f>
        <v/>
      </c>
      <c r="G11" s="139">
        <f>IFERROR(VLOOKUP($B11,個資,6,FALSE),"")</f>
        <v/>
      </c>
      <c r="H11" s="991" t="n"/>
      <c r="I11" s="664">
        <f>IF(ISBLANK($B11)," ",MID(輸入!$C$11,4,2))</f>
        <v/>
      </c>
      <c r="J11" s="664">
        <f>IF(ISBLANK($B11)," ",MID(輸入!$C$11,6,2))</f>
        <v/>
      </c>
      <c r="K11" s="664">
        <f>IF(ISBLANK($B11)," ",MID(輸入!$C$11,8,2))</f>
        <v/>
      </c>
      <c r="L11" s="991" t="n"/>
      <c r="M11" s="991" t="n"/>
      <c r="N11" s="991" t="n"/>
      <c r="O11" s="991" t="n"/>
      <c r="P11" s="991" t="n"/>
      <c r="Q11" s="135" t="n"/>
      <c r="R11" s="442" t="n"/>
    </row>
    <row r="12" ht="39" customHeight="1" s="683">
      <c r="B12" s="136" t="n"/>
      <c r="C12" s="664">
        <f>IFERROR(VLOOKUP($B12,個資,11,FALSE),"")</f>
        <v/>
      </c>
      <c r="D12" s="664">
        <f>IFERROR(VLOOKUP($B12,個資,16,FALSE),"")</f>
        <v/>
      </c>
      <c r="E12" s="581">
        <f>IFERROR(VLOOKUP($B12,個資,8,FALSE),"")</f>
        <v/>
      </c>
      <c r="F12" s="664">
        <f>IFERROR(VLOOKUP($B12,個資,2,FALSE),"")</f>
        <v/>
      </c>
      <c r="G12" s="139">
        <f>IFERROR(VLOOKUP($B12,個資,6,FALSE),"")</f>
        <v/>
      </c>
      <c r="H12" s="991" t="n"/>
      <c r="I12" s="664">
        <f>IF(ISBLANK($B12)," ",MID(輸入!$C$11,4,2))</f>
        <v/>
      </c>
      <c r="J12" s="664">
        <f>IF(ISBLANK($B12)," ",MID(輸入!$C$11,6,2))</f>
        <v/>
      </c>
      <c r="K12" s="664">
        <f>IF(ISBLANK($B12)," ",MID(輸入!$C$11,8,2))</f>
        <v/>
      </c>
      <c r="L12" s="991" t="n"/>
      <c r="M12" s="991" t="n"/>
      <c r="N12" s="991" t="n"/>
      <c r="O12" s="991" t="n"/>
      <c r="P12" s="991" t="n"/>
      <c r="Q12" s="135" t="n"/>
      <c r="R12" s="442" t="n"/>
    </row>
    <row r="13" ht="19.5" customHeight="1" s="683">
      <c r="B13" s="766" t="n"/>
      <c r="Q13" s="728" t="n"/>
      <c r="R13" s="442" t="n"/>
    </row>
    <row r="14" ht="19.5" customHeight="1" s="683">
      <c r="B14" s="769">
        <f>CONCATENATE("　　上開  ",$B$8,"  等",COUNTA($B$8:$B$12),"人因       ",呈報單!$G$15,"案       送入拘留所候詢室")</f>
        <v/>
      </c>
      <c r="Q14" s="728" t="n"/>
      <c r="R14" s="439" t="n"/>
    </row>
    <row r="15" ht="19.5" customHeight="1" s="683">
      <c r="B15" s="769" t="inlineStr">
        <is>
          <t xml:space="preserve">　　　此　致                                      　　　勤務指揮中心：</t>
        </is>
      </c>
      <c r="Q15" s="728" t="n"/>
      <c r="R15" s="439" t="n"/>
    </row>
    <row r="16" ht="19.5" customHeight="1" s="683">
      <c r="B16" s="769" t="inlineStr">
        <is>
          <t>拘留所：</t>
        </is>
      </c>
      <c r="Q16" s="728" t="n"/>
      <c r="R16" s="439" t="n"/>
    </row>
    <row r="17" ht="19.5" customHeight="1" s="683">
      <c r="B17" s="769" t="inlineStr">
        <is>
          <t xml:space="preserve">承辦人：　                     隊長：  　　　　　　　　  機關主管長官：　　　　　　　　　　　　　　　　　　　　　　　　　　　　　　　　　　　</t>
        </is>
      </c>
      <c r="Q17" s="728" t="n"/>
      <c r="R17" s="439" t="n"/>
    </row>
    <row r="18" ht="19.5" customHeight="1" s="683">
      <c r="B18" s="769" t="n"/>
      <c r="Q18" s="728" t="n"/>
      <c r="R18" s="439" t="n"/>
    </row>
    <row r="19" ht="19.5" customHeight="1" s="683">
      <c r="B19" s="769" t="n"/>
      <c r="Q19" s="728" t="n"/>
      <c r="R19" s="439" t="n"/>
    </row>
    <row r="20" ht="20.25" customHeight="1" s="683" thickBot="1">
      <c r="B20" s="770" t="n"/>
      <c r="C20" s="771" t="n"/>
      <c r="D20" s="771" t="n"/>
      <c r="E20" s="771" t="n"/>
      <c r="F20" s="771" t="n"/>
      <c r="G20" s="771" t="n"/>
      <c r="H20" s="771" t="n"/>
      <c r="I20" s="771" t="n"/>
      <c r="J20" s="771" t="n"/>
      <c r="K20" s="771" t="n"/>
      <c r="L20" s="771" t="n"/>
      <c r="M20" s="771" t="n"/>
      <c r="N20" s="771" t="n"/>
      <c r="O20" s="771" t="n"/>
      <c r="P20" s="771" t="n"/>
      <c r="Q20" s="772" t="n"/>
      <c r="R20" s="439" t="n"/>
    </row>
    <row r="21">
      <c r="B21" s="773" t="inlineStr">
        <is>
          <t>使用說明：一、本通知單一式二聯，紙張尺度（公厘）211X87（直X橫）、裝訂於上方裝訂線。</t>
        </is>
      </c>
      <c r="C21" s="734" t="n"/>
      <c r="D21" s="734" t="n"/>
      <c r="E21" s="734" t="n"/>
      <c r="F21" s="734" t="n"/>
      <c r="G21" s="734" t="n"/>
      <c r="H21" s="734" t="n"/>
      <c r="I21" s="734" t="n"/>
      <c r="J21" s="734" t="n"/>
      <c r="K21" s="734" t="n"/>
    </row>
    <row r="22">
      <c r="B22" s="778" t="inlineStr">
        <is>
          <t xml:space="preserve">　　　　　二、第一聯存根（簽辦用）、第二聯正本（送拘留所）。</t>
        </is>
      </c>
    </row>
    <row r="23" ht="17.25" customHeight="1" s="683">
      <c r="B23" s="134" t="inlineStr">
        <is>
          <t xml:space="preserve"> </t>
        </is>
      </c>
    </row>
    <row r="24">
      <c r="B24" s="133" t="n"/>
      <c r="Q24" s="132" t="inlineStr">
        <is>
          <t>01</t>
        </is>
      </c>
    </row>
    <row r="25" ht="6" customHeight="1" s="683">
      <c r="A25" s="144" t="n"/>
      <c r="B25" s="144" t="n"/>
      <c r="C25" s="144" t="n"/>
      <c r="D25" s="144" t="n"/>
      <c r="E25" s="144" t="n"/>
      <c r="F25" s="144" t="n"/>
      <c r="G25" s="144" t="n"/>
      <c r="H25" s="144" t="n"/>
      <c r="I25" s="144" t="n"/>
      <c r="J25" s="144" t="n"/>
      <c r="K25" s="144" t="n"/>
      <c r="L25" s="144" t="n"/>
      <c r="M25" s="144" t="n"/>
      <c r="N25" s="144" t="n"/>
      <c r="O25" s="144" t="n"/>
      <c r="P25" s="144" t="n"/>
      <c r="Q25" s="144" t="n"/>
      <c r="R25" s="144" t="n"/>
    </row>
    <row r="26" ht="21" customHeight="1" s="683"/>
    <row r="27" ht="21" customHeight="1" s="683" thickBot="1">
      <c r="A27" s="143" t="n"/>
      <c r="B27" s="143" t="n"/>
      <c r="C27" s="143" t="n"/>
      <c r="D27" s="143" t="n"/>
      <c r="E27" s="143" t="n"/>
      <c r="F27" s="143" t="n"/>
      <c r="G27" s="143" t="n"/>
      <c r="H27" s="143" t="n"/>
      <c r="I27" s="143" t="n"/>
      <c r="J27" s="143" t="n"/>
      <c r="K27" s="143" t="n"/>
      <c r="L27" s="143" t="n"/>
      <c r="M27" s="143" t="n"/>
      <c r="N27" s="143" t="n"/>
      <c r="O27" s="143" t="n"/>
      <c r="P27" s="143" t="n"/>
      <c r="Q27" s="143" t="n"/>
      <c r="R27" s="143" t="n"/>
    </row>
    <row r="28" ht="25.5" customHeight="1" s="683">
      <c r="B28" s="774">
        <f>CONCATENATE(輸入!$S$18,輸入!$T$18,輸入!$S$19,輸入!$T$19,"候詢人出所通知單")</f>
        <v/>
      </c>
      <c r="C28" s="734" t="n"/>
      <c r="D28" s="734" t="n"/>
      <c r="E28" s="734" t="n"/>
      <c r="F28" s="734" t="n"/>
      <c r="G28" s="734" t="n"/>
      <c r="H28" s="734" t="n"/>
      <c r="I28" s="775">
        <f>CONCATENATE("填單：",LEFT(下拉用!$J$5,10))</f>
        <v/>
      </c>
      <c r="J28" s="734" t="n"/>
      <c r="K28" s="734" t="n"/>
      <c r="L28" s="734" t="n"/>
      <c r="M28" s="734" t="n"/>
      <c r="N28" s="734" t="n"/>
      <c r="O28" s="734" t="n"/>
      <c r="P28" s="734" t="n"/>
      <c r="Q28" s="142" t="n"/>
      <c r="R28" s="13" t="inlineStr">
        <is>
          <t xml:space="preserve">  </t>
        </is>
      </c>
    </row>
    <row r="29" ht="19.5" customHeight="1" s="683">
      <c r="B29" s="441" t="inlineStr">
        <is>
          <t xml:space="preserve">　　　　　　　　　　　　　　　　　　　　　　　　　　　　　　            </t>
        </is>
      </c>
      <c r="C29" s="442" t="n"/>
      <c r="D29" s="442" t="n"/>
      <c r="E29" s="442" t="n"/>
      <c r="F29" s="442" t="n"/>
      <c r="G29" s="442" t="n"/>
      <c r="H29" s="442" t="n"/>
      <c r="I29" s="768" t="inlineStr">
        <is>
          <t>編號：</t>
        </is>
      </c>
      <c r="J29" s="585" t="n"/>
      <c r="K29" s="585" t="n"/>
      <c r="L29" s="585" t="n"/>
      <c r="M29" s="585" t="n"/>
      <c r="N29" s="585" t="n"/>
      <c r="O29" s="585" t="n"/>
      <c r="P29" s="442" t="n"/>
      <c r="Q29" s="443" t="n"/>
      <c r="R29" s="442" t="n"/>
    </row>
    <row r="30" ht="19.5" customHeight="1" s="683">
      <c r="B30" s="776" t="inlineStr">
        <is>
          <t>姓名</t>
        </is>
      </c>
      <c r="C30" s="767" t="inlineStr">
        <is>
          <t>性
別</t>
        </is>
      </c>
      <c r="D30" s="767" t="inlineStr">
        <is>
          <t>出生
年月日</t>
        </is>
      </c>
      <c r="E30" s="767" t="inlineStr">
        <is>
          <t>職業</t>
        </is>
      </c>
      <c r="F30" s="767" t="inlineStr">
        <is>
          <t>身分證
統一編號</t>
        </is>
      </c>
      <c r="G30" s="767" t="inlineStr">
        <is>
          <t>住居所</t>
        </is>
      </c>
      <c r="H30" s="767" t="inlineStr">
        <is>
          <t>拘留
日數</t>
        </is>
      </c>
      <c r="I30" s="581" t="inlineStr">
        <is>
          <t>拘提逮捕</t>
        </is>
      </c>
      <c r="J30" s="579" t="n"/>
      <c r="K30" s="576" t="n"/>
      <c r="L30" s="767" t="inlineStr">
        <is>
          <t>出所時間</t>
        </is>
      </c>
      <c r="M30" s="579" t="n"/>
      <c r="N30" s="579" t="n"/>
      <c r="O30" s="576" t="n"/>
      <c r="P30" s="767" t="inlineStr">
        <is>
          <t>准否接見</t>
        </is>
      </c>
      <c r="Q30" s="141" t="inlineStr">
        <is>
          <t>備考</t>
        </is>
      </c>
      <c r="R30" s="1156" t="n"/>
    </row>
    <row r="31" ht="19.5" customHeight="1" s="683">
      <c r="B31" s="777" t="n"/>
      <c r="C31" s="588" t="n"/>
      <c r="D31" s="588" t="n"/>
      <c r="E31" s="588" t="n"/>
      <c r="F31" s="588" t="n"/>
      <c r="G31" s="588" t="n"/>
      <c r="H31" s="588" t="n"/>
      <c r="I31" s="581" t="inlineStr">
        <is>
          <t>月</t>
        </is>
      </c>
      <c r="J31" s="581" t="inlineStr">
        <is>
          <t>日</t>
        </is>
      </c>
      <c r="K31" s="581" t="inlineStr">
        <is>
          <t>時</t>
        </is>
      </c>
      <c r="L31" s="581" t="inlineStr">
        <is>
          <t>月</t>
        </is>
      </c>
      <c r="M31" s="581" t="inlineStr">
        <is>
          <t>日</t>
        </is>
      </c>
      <c r="N31" s="581" t="inlineStr">
        <is>
          <t>時</t>
        </is>
      </c>
      <c r="O31" s="581" t="inlineStr">
        <is>
          <t>分</t>
        </is>
      </c>
      <c r="P31" s="588" t="n"/>
      <c r="Q31" s="140" t="inlineStr">
        <is>
          <t>（捺指紋）</t>
        </is>
      </c>
      <c r="R31" s="1156" t="n"/>
    </row>
    <row r="32" ht="39" customHeight="1" s="683">
      <c r="B32" s="136">
        <f>$B8</f>
        <v/>
      </c>
      <c r="C32" s="664">
        <f>IFERROR(VLOOKUP($B8,個資,11,FALSE),"")</f>
        <v/>
      </c>
      <c r="D32" s="664">
        <f>IFERROR(VLOOKUP($B8,個資,16,FALSE),"")</f>
        <v/>
      </c>
      <c r="E32" s="577">
        <f>IFERROR(VLOOKUP($B8,個資,8,FALSE),"")</f>
        <v/>
      </c>
      <c r="F32" s="664">
        <f>IFERROR(VLOOKUP($B8,個資,2,FALSE),"")</f>
        <v/>
      </c>
      <c r="G32" s="139">
        <f>IFERROR(VLOOKUP($B8,個資,6,FALSE),"")</f>
        <v/>
      </c>
      <c r="H32" s="664" t="n"/>
      <c r="I32" s="664">
        <f>IF(ISBLANK($B32)," ",MID(輸入!$C$11,4,2))</f>
        <v/>
      </c>
      <c r="J32" s="664">
        <f>IF(ISBLANK($B32)," ",MID(輸入!$C$11,6,2))</f>
        <v/>
      </c>
      <c r="K32" s="664">
        <f>IF(ISBLANK($B32)," ",MID(輸入!$C$11,8,2))</f>
        <v/>
      </c>
      <c r="L32" s="138" t="n"/>
      <c r="M32" s="138" t="n"/>
      <c r="N32" s="137" t="n"/>
      <c r="O32" s="137" t="n"/>
      <c r="P32" s="991" t="n"/>
      <c r="Q32" s="135" t="n"/>
      <c r="R32" s="442" t="n"/>
    </row>
    <row r="33" ht="39" customHeight="1" s="683">
      <c r="B33" s="136">
        <f>IF(ISBLANK($B9),"",$B9)</f>
        <v/>
      </c>
      <c r="C33" s="664">
        <f>IFERROR(VLOOKUP($B9,個資,11,FALSE),"")</f>
        <v/>
      </c>
      <c r="D33" s="664">
        <f>IFERROR(VLOOKUP($B9,個資,16,FALSE),"")</f>
        <v/>
      </c>
      <c r="E33" s="577">
        <f>IFERROR(VLOOKUP($B9,個資,8,FALSE),"")</f>
        <v/>
      </c>
      <c r="F33" s="664">
        <f>IFERROR(VLOOKUP($B9,個資,2,FALSE),"")</f>
        <v/>
      </c>
      <c r="G33" s="139">
        <f>IFERROR(VLOOKUP($B9,個資,6,FALSE),"")</f>
        <v/>
      </c>
      <c r="H33" s="664" t="n"/>
      <c r="I33" s="664">
        <f>I9</f>
        <v/>
      </c>
      <c r="J33" s="664">
        <f>J9</f>
        <v/>
      </c>
      <c r="K33" s="664">
        <f>K9</f>
        <v/>
      </c>
      <c r="L33" s="664" t="n"/>
      <c r="M33" s="664" t="n"/>
      <c r="N33" s="991" t="n"/>
      <c r="O33" s="991" t="n"/>
      <c r="P33" s="991" t="n"/>
      <c r="Q33" s="135" t="n"/>
      <c r="R33" s="442" t="n"/>
    </row>
    <row r="34" ht="39" customHeight="1" s="683">
      <c r="B34" s="136">
        <f>IF(ISBLANK($B10),"",$B10)</f>
        <v/>
      </c>
      <c r="C34" s="664">
        <f>IFERROR(VLOOKUP($B10,個資,11,FALSE),"")</f>
        <v/>
      </c>
      <c r="D34" s="664">
        <f>IFERROR(VLOOKUP($B10,個資,16,FALSE),"")</f>
        <v/>
      </c>
      <c r="E34" s="577">
        <f>IFERROR(VLOOKUP($B10,個資,8,FALSE),"")</f>
        <v/>
      </c>
      <c r="F34" s="664">
        <f>IFERROR(VLOOKUP($B10,個資,2,FALSE),"")</f>
        <v/>
      </c>
      <c r="G34" s="139">
        <f>IFERROR(VLOOKUP($B10,個資,6,FALSE),"")</f>
        <v/>
      </c>
      <c r="H34" s="991" t="n"/>
      <c r="I34" s="664">
        <f>I10</f>
        <v/>
      </c>
      <c r="J34" s="664">
        <f>J10</f>
        <v/>
      </c>
      <c r="K34" s="664">
        <f>K10</f>
        <v/>
      </c>
      <c r="L34" s="664" t="n"/>
      <c r="M34" s="664" t="n"/>
      <c r="N34" s="991" t="n"/>
      <c r="O34" s="991" t="n"/>
      <c r="P34" s="991" t="n"/>
      <c r="Q34" s="135" t="n"/>
      <c r="R34" s="442" t="n"/>
    </row>
    <row r="35" ht="39" customHeight="1" s="683">
      <c r="B35" s="136">
        <f>IF(ISBLANK($B11),"",$B11)</f>
        <v/>
      </c>
      <c r="C35" s="664">
        <f>IFERROR(VLOOKUP($B11,個資,11,FALSE),"")</f>
        <v/>
      </c>
      <c r="D35" s="664">
        <f>IFERROR(VLOOKUP($B11,個資,16,FALSE),"")</f>
        <v/>
      </c>
      <c r="E35" s="577">
        <f>IFERROR(VLOOKUP($B11,個資,8,FALSE),"")</f>
        <v/>
      </c>
      <c r="F35" s="664">
        <f>IFERROR(VLOOKUP($B11,個資,2,FALSE),"")</f>
        <v/>
      </c>
      <c r="G35" s="139">
        <f>IFERROR(VLOOKUP($B11,個資,6,FALSE),"")</f>
        <v/>
      </c>
      <c r="H35" s="991" t="n"/>
      <c r="I35" s="664">
        <f>I11</f>
        <v/>
      </c>
      <c r="J35" s="664">
        <f>J11</f>
        <v/>
      </c>
      <c r="K35" s="664">
        <f>K11</f>
        <v/>
      </c>
      <c r="L35" s="991" t="n"/>
      <c r="M35" s="991" t="n"/>
      <c r="N35" s="991" t="n"/>
      <c r="O35" s="991" t="n"/>
      <c r="P35" s="991" t="n"/>
      <c r="Q35" s="135" t="n"/>
      <c r="R35" s="442" t="n"/>
    </row>
    <row r="36" ht="39" customHeight="1" s="683">
      <c r="B36" s="136">
        <f>IF(ISBLANK($B12),"",$B12)</f>
        <v/>
      </c>
      <c r="C36" s="664">
        <f>IFERROR(VLOOKUP($B12,個資,11,FALSE),"")</f>
        <v/>
      </c>
      <c r="D36" s="664">
        <f>IFERROR(VLOOKUP($B12,個資,16,FALSE),"")</f>
        <v/>
      </c>
      <c r="E36" s="577">
        <f>IFERROR(VLOOKUP($B12,個資,8,FALSE),"")</f>
        <v/>
      </c>
      <c r="F36" s="664">
        <f>IFERROR(VLOOKUP($B12,個資,2,FALSE),"")</f>
        <v/>
      </c>
      <c r="G36" s="139">
        <f>IFERROR(VLOOKUP($B12,個資,6,FALSE),"")</f>
        <v/>
      </c>
      <c r="H36" s="991" t="n"/>
      <c r="I36" s="664">
        <f>I12</f>
        <v/>
      </c>
      <c r="J36" s="664">
        <f>J12</f>
        <v/>
      </c>
      <c r="K36" s="664">
        <f>K12</f>
        <v/>
      </c>
      <c r="L36" s="991" t="n"/>
      <c r="M36" s="991" t="n"/>
      <c r="N36" s="991" t="n"/>
      <c r="O36" s="991" t="n"/>
      <c r="P36" s="991" t="n"/>
      <c r="Q36" s="135" t="n"/>
      <c r="R36" s="442" t="n"/>
    </row>
    <row r="37" ht="19.5" customHeight="1" s="683">
      <c r="B37" s="766" t="n"/>
      <c r="Q37" s="728" t="n"/>
      <c r="R37" s="442" t="n"/>
    </row>
    <row r="38" ht="19.5" customHeight="1" s="683">
      <c r="B38" s="769">
        <f>CONCATENATE(,"　　上開",word用!H2,"等",COUNTA($B$8:$B$12),"名經偵詢完畢應移送□臺北地檢□士林地檢□新北地檢等請予釋放提出。")</f>
        <v/>
      </c>
      <c r="Q38" s="728" t="n"/>
      <c r="R38" s="439" t="n"/>
    </row>
    <row r="39" ht="19.5" customHeight="1" s="683">
      <c r="B39" s="769" t="inlineStr">
        <is>
          <t xml:space="preserve">　　　此　致                                      　　　勤務指揮中心：</t>
        </is>
      </c>
      <c r="Q39" s="728" t="n"/>
      <c r="R39" s="439" t="n"/>
    </row>
    <row r="40" ht="19.5" customHeight="1" s="683">
      <c r="B40" s="769" t="inlineStr">
        <is>
          <t>拘留所：</t>
        </is>
      </c>
      <c r="Q40" s="728" t="n"/>
      <c r="R40" s="439" t="n"/>
    </row>
    <row r="41" ht="19.5" customHeight="1" s="683">
      <c r="B41" s="769" t="inlineStr">
        <is>
          <t xml:space="preserve">承辦人：　                     隊長：  　　　　　　　　  機關主管長官：　　　　　　　　　　　　　　　　　　　　　　　　　　　　　　　　　　　</t>
        </is>
      </c>
      <c r="Q41" s="728" t="n"/>
      <c r="R41" s="439" t="n"/>
    </row>
    <row r="42" ht="19.5" customHeight="1" s="683">
      <c r="B42" s="769" t="n"/>
      <c r="Q42" s="728" t="n"/>
      <c r="R42" s="439" t="n"/>
    </row>
    <row r="43" ht="19.5" customHeight="1" s="683">
      <c r="B43" s="769" t="n"/>
      <c r="Q43" s="728" t="n"/>
      <c r="R43" s="439" t="n"/>
    </row>
    <row r="44" ht="20.25" customHeight="1" s="683" thickBot="1">
      <c r="B44" s="770" t="n"/>
      <c r="C44" s="771" t="n"/>
      <c r="D44" s="771" t="n"/>
      <c r="E44" s="771" t="n"/>
      <c r="F44" s="771" t="n"/>
      <c r="G44" s="771" t="n"/>
      <c r="H44" s="771" t="n"/>
      <c r="I44" s="771" t="n"/>
      <c r="J44" s="771" t="n"/>
      <c r="K44" s="771" t="n"/>
      <c r="L44" s="771" t="n"/>
      <c r="M44" s="771" t="n"/>
      <c r="N44" s="771" t="n"/>
      <c r="O44" s="771" t="n"/>
      <c r="P44" s="771" t="n"/>
      <c r="Q44" s="772" t="n"/>
      <c r="R44" s="439" t="n"/>
    </row>
    <row r="45">
      <c r="B45" s="773" t="inlineStr">
        <is>
          <t>使用說明：一、本通知單一式二聯，紙張尺度（公厘）211X87（直X橫）、裝訂於上方裝訂線。</t>
        </is>
      </c>
      <c r="C45" s="734" t="n"/>
      <c r="D45" s="734" t="n"/>
      <c r="E45" s="734" t="n"/>
      <c r="F45" s="734" t="n"/>
      <c r="G45" s="734" t="n"/>
      <c r="H45" s="734" t="n"/>
      <c r="I45" s="734" t="n"/>
      <c r="J45" s="734" t="n"/>
      <c r="K45" s="734" t="n"/>
    </row>
    <row r="46">
      <c r="B46" s="778" t="inlineStr">
        <is>
          <t xml:space="preserve">　　　　　二、第一聯存根（簽辦用）、第二聯正本（送拘留所）。</t>
        </is>
      </c>
    </row>
    <row r="47" ht="17.25" customHeight="1" s="683">
      <c r="B47" s="134" t="inlineStr">
        <is>
          <t xml:space="preserve"> </t>
        </is>
      </c>
    </row>
    <row r="48">
      <c r="B48" s="133" t="n"/>
      <c r="Q48" s="132" t="inlineStr">
        <is>
          <t>02</t>
        </is>
      </c>
    </row>
  </sheetData>
  <mergeCells count="46">
    <mergeCell ref="B37:Q37"/>
    <mergeCell ref="C30:C31"/>
    <mergeCell ref="I5:O5"/>
    <mergeCell ref="B40:Q40"/>
    <mergeCell ref="H6:H7"/>
    <mergeCell ref="I29:O29"/>
    <mergeCell ref="L6:O6"/>
    <mergeCell ref="P6:P7"/>
    <mergeCell ref="B15:Q15"/>
    <mergeCell ref="F30:F31"/>
    <mergeCell ref="B20:Q20"/>
    <mergeCell ref="B45:K45"/>
    <mergeCell ref="B4:H4"/>
    <mergeCell ref="B41:Q41"/>
    <mergeCell ref="G6:G7"/>
    <mergeCell ref="E6:E7"/>
    <mergeCell ref="B16:Q16"/>
    <mergeCell ref="I28:P28"/>
    <mergeCell ref="B6:B7"/>
    <mergeCell ref="E30:E31"/>
    <mergeCell ref="B46:K46"/>
    <mergeCell ref="G30:G31"/>
    <mergeCell ref="B22:K22"/>
    <mergeCell ref="B18:Q18"/>
    <mergeCell ref="B21:K21"/>
    <mergeCell ref="B43:Q43"/>
    <mergeCell ref="I30:K30"/>
    <mergeCell ref="B39:Q39"/>
    <mergeCell ref="B30:B31"/>
    <mergeCell ref="I6:K6"/>
    <mergeCell ref="D30:D31"/>
    <mergeCell ref="B42:Q42"/>
    <mergeCell ref="I4:P4"/>
    <mergeCell ref="H30:H31"/>
    <mergeCell ref="B14:Q14"/>
    <mergeCell ref="L30:O30"/>
    <mergeCell ref="P30:P31"/>
    <mergeCell ref="B17:Q17"/>
    <mergeCell ref="B13:Q13"/>
    <mergeCell ref="C6:C7"/>
    <mergeCell ref="B38:Q38"/>
    <mergeCell ref="D6:D7"/>
    <mergeCell ref="B44:Q44"/>
    <mergeCell ref="F6:F7"/>
    <mergeCell ref="B28:H28"/>
    <mergeCell ref="B19:Q19"/>
  </mergeCells>
  <pageMargins left="0.2362204724409449" right="0.2362204724409449" top="0.2362204724409449" bottom="0.2362204724409449" header="0.3149606299212598" footer="0.3149606299212598"/>
  <pageSetup orientation="landscape" paperSize="9"/>
  <rowBreaks count="1" manualBreakCount="1">
    <brk id="24" min="0" max="17" man="1"/>
  </rowBreaks>
</worksheet>
</file>

<file path=xl/worksheets/sheet19.xml><?xml version="1.0" encoding="utf-8"?>
<worksheet xmlns="http://schemas.openxmlformats.org/spreadsheetml/2006/main">
  <sheetPr codeName="工作表55">
    <outlinePr summaryBelow="1" summaryRight="1"/>
    <pageSetUpPr/>
  </sheetPr>
  <dimension ref="A1:Q30"/>
  <sheetViews>
    <sheetView view="pageLayout" topLeftCell="A13" zoomScale="85" zoomScaleNormal="100" zoomScaleSheetLayoutView="100" zoomScalePageLayoutView="85" workbookViewId="0">
      <selection activeCell="F23" sqref="F23:O23"/>
    </sheetView>
  </sheetViews>
  <sheetFormatPr baseColWidth="8" defaultRowHeight="16.5"/>
  <cols>
    <col width="1.125" customWidth="1" style="782" min="1" max="1"/>
    <col width="1.375" customWidth="1" style="782" min="2" max="2"/>
    <col width="2.25" customWidth="1" style="782" min="3" max="3"/>
    <col width="9.75" customWidth="1" style="782" min="4" max="4"/>
    <col width="9.25" customWidth="1" style="782" min="5" max="5"/>
    <col width="1.375" customWidth="1" style="782" min="6" max="6"/>
    <col width="11" customWidth="1" style="782" min="7" max="7"/>
    <col width="6.625" customWidth="1" style="782" min="8" max="8"/>
    <col width="5.125" customWidth="1" style="782" min="9" max="9"/>
    <col width="4.25" customWidth="1" style="782" min="10" max="10"/>
    <col width="14.125" customWidth="1" style="782" min="11" max="11"/>
    <col width="0.875" customWidth="1" style="782" min="12" max="12"/>
    <col width="6.625" customWidth="1" style="782" min="13" max="13"/>
    <col width="7.5" customWidth="1" style="782" min="14" max="14"/>
    <col width="22.125" customWidth="1" style="782" min="15" max="15"/>
    <col width="1.125" customWidth="1" style="782" min="16" max="16"/>
    <col width="1.25" customWidth="1" style="782" min="17" max="17"/>
    <col width="9" customWidth="1" style="782" min="18" max="53"/>
    <col width="9" customWidth="1" style="782" min="54" max="16384"/>
  </cols>
  <sheetData>
    <row r="1" ht="26.25" customHeight="1" s="683">
      <c r="A1" s="795" t="inlineStr">
        <is>
          <t>法律扶助基金會 檢警/少年事件 律師陪同到場- 指派律師通知表114年01月版</t>
        </is>
      </c>
      <c r="B1" s="579" t="n"/>
      <c r="C1" s="579" t="n"/>
      <c r="D1" s="579" t="n"/>
      <c r="E1" s="579" t="n"/>
      <c r="F1" s="579" t="n"/>
      <c r="G1" s="579" t="n"/>
      <c r="H1" s="579" t="n"/>
      <c r="I1" s="579" t="n"/>
      <c r="J1" s="579" t="n"/>
      <c r="K1" s="579" t="n"/>
      <c r="L1" s="579" t="n"/>
      <c r="M1" s="579" t="n"/>
      <c r="N1" s="579" t="n"/>
      <c r="O1" s="579" t="n"/>
      <c r="P1" s="579" t="n"/>
      <c r="Q1" s="576" t="n"/>
    </row>
    <row r="2" ht="24" customHeight="1" s="683">
      <c r="A2" s="779" t="inlineStr">
        <is>
          <t>通報
機關</t>
        </is>
      </c>
      <c r="B2" s="582" t="n"/>
      <c r="C2" s="582" t="n"/>
      <c r="D2" s="583" t="n"/>
      <c r="E2" s="780" t="inlineStr">
        <is>
          <t>___________地方法院                                     _______檢察署</t>
        </is>
      </c>
      <c r="F2" s="582" t="n"/>
      <c r="G2" s="582" t="n"/>
      <c r="H2" s="582" t="n"/>
      <c r="I2" s="582" t="n"/>
      <c r="J2" s="582" t="n"/>
      <c r="K2" s="582" t="n"/>
      <c r="L2" s="582" t="n"/>
      <c r="M2" s="582" t="n"/>
      <c r="N2" s="582" t="n"/>
      <c r="O2" s="582" t="n"/>
      <c r="P2" s="582" t="n"/>
      <c r="Q2" s="583" t="n"/>
    </row>
    <row r="3" ht="24" customHeight="1" s="683">
      <c r="A3" s="607" t="n"/>
      <c r="D3" s="609" t="n"/>
      <c r="E3" s="804">
        <f>CONCATENATE("__",輸入!$S$18,"__",輸入!$T$18,"___",輸入!$S$19,"___",輸入!$T$19,"___隊___",輸入!$S$20,"__分駐/派出所")</f>
        <v/>
      </c>
      <c r="Q3" s="609" t="n"/>
    </row>
    <row r="4" ht="24" customHeight="1" s="683">
      <c r="A4" s="584" t="n"/>
      <c r="B4" s="585" t="n"/>
      <c r="C4" s="585" t="n"/>
      <c r="D4" s="586" t="n"/>
      <c r="E4" s="811" t="inlineStr">
        <is>
          <t>法務部調查局           ________ 調查處/站/組  其他：           ____ (請各單位自行填寫)</t>
        </is>
      </c>
      <c r="F4" s="585" t="n"/>
      <c r="G4" s="585" t="n"/>
      <c r="H4" s="585" t="n"/>
      <c r="I4" s="585" t="n"/>
      <c r="J4" s="585" t="n"/>
      <c r="K4" s="585" t="n"/>
      <c r="L4" s="585" t="n"/>
      <c r="M4" s="585" t="n"/>
      <c r="N4" s="585" t="n"/>
      <c r="O4" s="585" t="n"/>
      <c r="P4" s="585" t="n"/>
      <c r="Q4" s="586" t="n"/>
    </row>
    <row r="5" ht="33" customHeight="1" s="683">
      <c r="A5" s="779" t="inlineStr">
        <is>
          <t>當事人姓名</t>
        </is>
      </c>
      <c r="B5" s="579" t="n"/>
      <c r="C5" s="579" t="n"/>
      <c r="D5" s="576" t="n"/>
      <c r="E5" s="805">
        <f>word用!$H$2</f>
        <v/>
      </c>
      <c r="F5" s="585" t="n"/>
      <c r="G5" s="585" t="n"/>
      <c r="H5" s="586" t="n"/>
      <c r="I5" s="810" t="n"/>
      <c r="J5" s="609" t="n"/>
      <c r="K5" s="807" t="inlineStr">
        <is>
          <t xml:space="preserve">  □原住民族：_____________族。</t>
        </is>
      </c>
      <c r="L5" s="582" t="n"/>
      <c r="M5" s="582" t="n"/>
      <c r="N5" s="582" t="n"/>
      <c r="O5" s="582" t="n"/>
      <c r="P5" s="582" t="n"/>
      <c r="Q5" s="583" t="n"/>
    </row>
    <row r="6" ht="27" customHeight="1" s="683">
      <c r="A6" s="779" t="inlineStr">
        <is>
          <t>當事人電話</t>
        </is>
      </c>
      <c r="B6" s="579" t="n"/>
      <c r="C6" s="579" t="n"/>
      <c r="D6" s="576" t="n"/>
      <c r="E6" s="581">
        <f>IF(word用!$K$2="0","",word用!$K$2)</f>
        <v/>
      </c>
      <c r="F6" s="579" t="n"/>
      <c r="G6" s="579" t="n"/>
      <c r="H6" s="576" t="n"/>
      <c r="I6" s="789" t="inlineStr">
        <is>
          <t>身分別（僅限符合右列情形使用）</t>
        </is>
      </c>
      <c r="J6" s="609" t="n"/>
      <c r="K6" s="821" t="inlineStr">
        <is>
          <t xml:space="preserve"> □因身心障礙，致無法為完全之陳述。
   *障礙別為第【          】類
   （身心障礙者不以持有證明者為限。障礙類別代
   碼，可參身心障礙證明背面資訊填載）</t>
        </is>
      </c>
      <c r="Q6" s="609" t="n"/>
    </row>
    <row r="7" ht="43.5" customHeight="1" s="683">
      <c r="A7" s="779" t="inlineStr">
        <is>
          <t>身分證
居留證/護照</t>
        </is>
      </c>
      <c r="B7" s="579" t="n"/>
      <c r="C7" s="579" t="n"/>
      <c r="D7" s="576" t="n"/>
      <c r="E7" s="581">
        <f>UPPER(VLOOKUP($E$5,個資,2,FALSE))</f>
        <v/>
      </c>
      <c r="F7" s="579" t="n"/>
      <c r="G7" s="579" t="n"/>
      <c r="H7" s="576" t="n"/>
      <c r="I7" s="607" t="n"/>
      <c r="J7" s="609" t="n"/>
      <c r="K7" s="607" t="n"/>
      <c r="Q7" s="609" t="n"/>
    </row>
    <row r="8" ht="27.75" customHeight="1" s="683">
      <c r="A8" s="779" t="inlineStr">
        <is>
          <t>涉犯罪名</t>
        </is>
      </c>
      <c r="B8" s="582" t="n"/>
      <c r="C8" s="582" t="n"/>
      <c r="D8" s="583" t="n"/>
      <c r="E8" s="786">
        <f>呈報單!$G$15</f>
        <v/>
      </c>
      <c r="F8" s="582" t="n"/>
      <c r="G8" s="582" t="n"/>
      <c r="H8" s="583" t="n"/>
      <c r="I8" s="607" t="n"/>
      <c r="J8" s="609" t="n"/>
      <c r="K8" s="820" t="inlineStr">
        <is>
          <t xml:space="preserve"> □少年(12歲以上18歲未滿之人)</t>
        </is>
      </c>
      <c r="Q8" s="609" t="n"/>
    </row>
    <row r="9" ht="27.75" customHeight="1" s="683">
      <c r="A9" s="607" t="n"/>
      <c r="D9" s="609" t="n"/>
      <c r="E9" s="607" t="n"/>
      <c r="H9" s="609" t="n"/>
      <c r="I9" s="607" t="n"/>
      <c r="J9" s="609" t="n"/>
      <c r="K9" s="817" t="inlineStr">
        <is>
          <t xml:space="preserve"> □第一次接受訊問，涉犯最輕本刑三年以上有
   期徒刑或高等法院管轄第一審之罪。
 □非第一次接受訊問，涉犯殺人罪(§271第1項)、
   妨害性自主殺人罪(§226之1前段)、強盜殺人罪(§
   332第1項)、擄人勒贖殺人罪(§348第1項)。</t>
        </is>
      </c>
      <c r="Q9" s="609" t="n"/>
    </row>
    <row r="10" ht="58.5" customHeight="1" s="683">
      <c r="A10" s="584" t="n"/>
      <c r="B10" s="585" t="n"/>
      <c r="C10" s="585" t="n"/>
      <c r="D10" s="586" t="n"/>
      <c r="E10" s="813" t="inlineStr">
        <is>
          <t>如涉犯殺人罪者請勾選：刑法□§271I殺人罪、□§226-1前段妨害性自主殺人罪、□§332 I強盜殺人罪、□§348I擄人勒贖殺人罪、□其他</t>
        </is>
      </c>
      <c r="F10" s="585" t="n"/>
      <c r="G10" s="585" t="n"/>
      <c r="H10" s="586" t="n"/>
      <c r="I10" s="584" t="n"/>
      <c r="J10" s="586" t="n"/>
      <c r="K10" s="584" t="n"/>
      <c r="L10" s="585" t="n"/>
      <c r="M10" s="585" t="n"/>
      <c r="N10" s="585" t="n"/>
      <c r="O10" s="585" t="n"/>
      <c r="P10" s="585" t="n"/>
      <c r="Q10" s="586" t="n"/>
    </row>
    <row r="11" ht="22.5" customHeight="1" s="683">
      <c r="A11" s="794" t="inlineStr">
        <is>
          <t>預計偵訊時間：______年______月_______日_______時________分</t>
        </is>
      </c>
      <c r="B11" s="582" t="n"/>
      <c r="C11" s="582" t="n"/>
      <c r="D11" s="582" t="n"/>
      <c r="E11" s="582" t="n"/>
      <c r="F11" s="582" t="n"/>
      <c r="G11" s="582" t="n"/>
      <c r="H11" s="582" t="n"/>
      <c r="I11" s="582" t="n"/>
      <c r="J11" s="582" t="n"/>
      <c r="K11" s="582" t="n"/>
      <c r="L11" s="582" t="n"/>
      <c r="M11" s="582" t="n"/>
      <c r="N11" s="582" t="n"/>
      <c r="O11" s="582" t="n"/>
      <c r="P11" s="582" t="n"/>
      <c r="Q11" s="583" t="n"/>
    </row>
    <row r="12" ht="22.5" customHeight="1" s="683">
      <c r="A12" s="809">
        <f>CONCATENATE("偵訊機關地址：",輸入!S23)</f>
        <v/>
      </c>
      <c r="B12" s="585" t="n"/>
      <c r="C12" s="585" t="n"/>
      <c r="D12" s="585" t="n"/>
      <c r="E12" s="585" t="n"/>
      <c r="F12" s="585" t="n"/>
      <c r="G12" s="585" t="n"/>
      <c r="H12" s="585" t="n"/>
      <c r="I12" s="585" t="n"/>
      <c r="J12" s="585" t="n"/>
      <c r="K12" s="585" t="n"/>
      <c r="L12" s="585" t="n"/>
      <c r="M12" s="585" t="n"/>
      <c r="N12" s="585" t="n"/>
      <c r="O12" s="585" t="n"/>
      <c r="P12" s="585" t="n"/>
      <c r="Q12" s="586" t="n"/>
    </row>
    <row r="13" ht="27" customHeight="1" s="683">
      <c r="B13" s="796" t="inlineStr">
        <is>
          <t>由當事人自行填寫</t>
        </is>
      </c>
      <c r="C13" s="609" t="n"/>
      <c r="D13" s="812" t="inlineStr">
        <is>
          <t xml:space="preserve"> □需要陪偵律師</t>
        </is>
      </c>
      <c r="F13" s="609" t="n"/>
      <c r="G13" s="791" t="inlineStr">
        <is>
          <t xml:space="preserve"> 請自本通知單傳真到達法扶起，協助指派律師到達通報機關所在地點。經法扶
 回傳本通知單起4小時後，若無律師到場，將逕行依法詢問。</t>
        </is>
      </c>
      <c r="P13" s="792" t="n"/>
    </row>
    <row r="14" ht="12" customHeight="1" s="683">
      <c r="B14" s="725" t="n"/>
      <c r="C14" s="609" t="n"/>
      <c r="D14" s="726" t="n"/>
      <c r="E14" s="585" t="n"/>
      <c r="F14" s="586" t="n"/>
      <c r="G14" s="584" t="n"/>
      <c r="H14" s="585" t="n"/>
      <c r="I14" s="585" t="n"/>
      <c r="J14" s="585" t="n"/>
      <c r="K14" s="585" t="n"/>
      <c r="L14" s="585" t="n"/>
      <c r="M14" s="585" t="n"/>
      <c r="N14" s="585" t="n"/>
      <c r="O14" s="585" t="n"/>
      <c r="P14" s="793" t="n"/>
    </row>
    <row r="15" ht="19.5" customHeight="1" s="683">
      <c r="B15" s="725" t="n"/>
      <c r="C15" s="609" t="n"/>
      <c r="D15" s="781" t="inlineStr">
        <is>
          <t xml:space="preserve"> □當事人表示
  不需要陪偵律師</t>
        </is>
      </c>
      <c r="E15" s="582" t="n"/>
      <c r="F15" s="583" t="n"/>
      <c r="G15" s="797" t="inlineStr">
        <is>
          <t xml:space="preserve"> 當事人所述原因：</t>
        </is>
      </c>
      <c r="H15" s="582" t="n"/>
      <c r="I15" s="582" t="n"/>
      <c r="J15" s="582" t="n"/>
      <c r="K15" s="582" t="n"/>
      <c r="L15" s="583" t="n"/>
      <c r="M15" s="787" t="inlineStr">
        <is>
          <t xml:space="preserve">當事人
簽名 </t>
        </is>
      </c>
      <c r="N15" s="583" t="n"/>
      <c r="O15" s="391" t="n"/>
      <c r="P15" s="392" t="n"/>
    </row>
    <row r="16" ht="18" customHeight="1" s="683">
      <c r="B16" s="725" t="n"/>
      <c r="C16" s="609" t="n"/>
      <c r="D16" s="725" t="n"/>
      <c r="F16" s="609" t="n"/>
      <c r="G16" s="808" t="inlineStr">
        <is>
          <t xml:space="preserve">  □不需要律師，可自行處理</t>
        </is>
      </c>
      <c r="L16" s="609" t="n"/>
      <c r="M16" s="607" t="n"/>
      <c r="N16" s="609" t="n"/>
      <c r="O16" s="393" t="n"/>
      <c r="P16" s="394" t="n"/>
    </row>
    <row r="17" ht="18" customHeight="1" s="683">
      <c r="B17" s="725" t="n"/>
      <c r="C17" s="609" t="n"/>
      <c r="D17" s="725" t="n"/>
      <c r="F17" s="609" t="n"/>
      <c r="G17" s="818" t="inlineStr">
        <is>
          <t xml:space="preserve">  □不願等候律師到場</t>
        </is>
      </c>
      <c r="L17" s="609" t="n"/>
      <c r="M17" s="607" t="n"/>
      <c r="N17" s="609" t="n"/>
      <c r="O17" s="798" t="inlineStr">
        <is>
          <t xml:space="preserve"> 註：本會指派律師均不收費</t>
        </is>
      </c>
      <c r="P17" s="728" t="n"/>
    </row>
    <row r="18" ht="20.25" customHeight="1" s="683" thickBot="1">
      <c r="B18" s="726" t="n"/>
      <c r="C18" s="586" t="n"/>
      <c r="D18" s="783" t="n"/>
      <c r="E18" s="771" t="n"/>
      <c r="F18" s="784" t="n"/>
      <c r="G18" s="788" t="inlineStr">
        <is>
          <t xml:space="preserve">  □已自行委任律師</t>
        </is>
      </c>
      <c r="H18" s="771" t="n"/>
      <c r="I18" s="771" t="n"/>
      <c r="J18" s="771" t="n"/>
      <c r="K18" s="771" t="n"/>
      <c r="L18" s="784" t="n"/>
      <c r="M18" s="584" t="n"/>
      <c r="N18" s="586" t="n"/>
      <c r="O18" s="799" t="n"/>
      <c r="P18" s="800" t="n"/>
    </row>
    <row r="19" ht="66" customHeight="1" s="683" thickBot="1">
      <c r="B19" s="801" t="inlineStr">
        <is>
          <t>※請適時保護自己：1.您可以詢問自己罪名是什麼；2.可以請求律師到場；3.律師到  場前，可以不回答問題；4.律師
  到場後，有充分時間與律師討論案情。
※申請律師後最遲於 45 分鐘內即可得知有無律師；律師平均約 1~4 小時抵達偵訊機關。如後續有偵查中辯護或法
  律扶助之需求，可請陪偵律師協助您填寫「法律扶助申請書」進行申請。</t>
        </is>
      </c>
      <c r="C19" s="802" t="n"/>
      <c r="D19" s="802" t="n"/>
      <c r="E19" s="802" t="n"/>
      <c r="F19" s="802" t="n"/>
      <c r="G19" s="802" t="n"/>
      <c r="H19" s="802" t="n"/>
      <c r="I19" s="802" t="n"/>
      <c r="J19" s="802" t="n"/>
      <c r="K19" s="802" t="n"/>
      <c r="L19" s="802" t="n"/>
      <c r="M19" s="802" t="n"/>
      <c r="N19" s="802" t="n"/>
      <c r="O19" s="802" t="n"/>
      <c r="P19" s="803" t="n"/>
    </row>
    <row r="20" ht="24" customHeight="1" s="683">
      <c r="B20" s="1211" t="n"/>
      <c r="C20" s="806" t="inlineStr">
        <is>
          <t>通報機關聯絡人</t>
        </is>
      </c>
      <c r="E20" s="609" t="n"/>
      <c r="F20" s="815">
        <f>CONCATENATE(輸入!$T$24,"  ",輸入!$U$24,)</f>
        <v/>
      </c>
      <c r="G20" s="734" t="n"/>
      <c r="H20" s="734" t="n"/>
      <c r="I20" s="734" t="n"/>
      <c r="J20" s="816" t="n"/>
      <c r="K20" s="779" t="inlineStr">
        <is>
          <t>電話</t>
        </is>
      </c>
      <c r="L20" s="790">
        <f>輸入!$T$21</f>
        <v/>
      </c>
      <c r="M20" s="579" t="n"/>
      <c r="N20" s="579" t="n"/>
      <c r="O20" s="576" t="n"/>
      <c r="P20" s="1211" t="n"/>
    </row>
    <row r="21" ht="25.5" customHeight="1" s="683">
      <c r="B21" s="1211" t="n"/>
      <c r="C21" s="584" t="n"/>
      <c r="D21" s="585" t="n"/>
      <c r="E21" s="586" t="n"/>
      <c r="F21" s="584" t="n"/>
      <c r="G21" s="585" t="n"/>
      <c r="H21" s="585" t="n"/>
      <c r="I21" s="585" t="n"/>
      <c r="J21" s="586" t="n"/>
      <c r="K21" s="779" t="inlineStr">
        <is>
          <t>傳真</t>
        </is>
      </c>
      <c r="L21" s="790">
        <f>輸入!$T$22</f>
        <v/>
      </c>
      <c r="M21" s="579" t="n"/>
      <c r="N21" s="579" t="n"/>
      <c r="O21" s="576" t="n"/>
      <c r="P21" s="1211" t="n"/>
    </row>
    <row r="22" ht="24" customHeight="1" s="683">
      <c r="B22" s="1211" t="n"/>
      <c r="C22" s="779" t="inlineStr">
        <is>
          <t>傳真通知法扶時間</t>
        </is>
      </c>
      <c r="D22" s="579" t="n"/>
      <c r="E22" s="576" t="n"/>
      <c r="F22" s="767" t="inlineStr">
        <is>
          <t xml:space="preserve">   年    月   日     時     分</t>
        </is>
      </c>
      <c r="G22" s="579" t="n"/>
      <c r="H22" s="579" t="n"/>
      <c r="I22" s="579" t="n"/>
      <c r="J22" s="579" t="n"/>
      <c r="K22" s="579" t="n"/>
      <c r="L22" s="579" t="n"/>
      <c r="M22" s="579" t="n"/>
      <c r="N22" s="579" t="n"/>
      <c r="O22" s="576" t="n"/>
      <c r="P22" s="1211" t="n"/>
    </row>
    <row r="23" ht="36.75" customHeight="1" s="683">
      <c r="B23" s="1211" t="n"/>
      <c r="C23" s="779" t="inlineStr">
        <is>
          <t>表單下載</t>
        </is>
      </c>
      <c r="D23" s="579" t="n"/>
      <c r="E23" s="576" t="n"/>
      <c r="F23" s="657" t="inlineStr">
        <is>
          <t>法扶會官網（http://www.laf.org.tw）下載路徑：下載專區&gt;&gt;檢警專案。
傳真後請致電客服中心，確認是否收到，謝謝。</t>
        </is>
      </c>
      <c r="G23" s="579" t="n"/>
      <c r="H23" s="579" t="n"/>
      <c r="I23" s="579" t="n"/>
      <c r="J23" s="579" t="n"/>
      <c r="K23" s="579" t="n"/>
      <c r="L23" s="579" t="n"/>
      <c r="M23" s="579" t="n"/>
      <c r="N23" s="579" t="n"/>
      <c r="O23" s="576" t="n"/>
      <c r="P23" s="1211" t="n"/>
    </row>
    <row r="24" ht="18.75" customHeight="1" s="683">
      <c r="B24" s="1211" t="n"/>
      <c r="C24" s="434" t="n"/>
      <c r="D24" s="434" t="n"/>
      <c r="E24" s="434" t="n"/>
      <c r="F24" s="411" t="n"/>
      <c r="G24" s="411" t="n"/>
      <c r="H24" s="411" t="n"/>
      <c r="I24" s="411" t="n"/>
      <c r="J24" s="411" t="n"/>
      <c r="K24" s="411" t="n"/>
      <c r="L24" s="411" t="n"/>
      <c r="M24" s="411" t="n"/>
      <c r="N24" s="411" t="n"/>
      <c r="O24" s="411" t="n"/>
      <c r="P24" s="1211" t="n"/>
    </row>
    <row r="25" ht="20.25" customHeight="1" s="683">
      <c r="B25" s="390" t="inlineStr">
        <is>
          <t xml:space="preserve"> </t>
        </is>
      </c>
      <c r="C25" s="412" t="n"/>
      <c r="D25" s="412" t="n"/>
      <c r="E25" s="412" t="n"/>
      <c r="F25" s="412" t="n"/>
      <c r="G25" s="413" t="inlineStr">
        <is>
          <t>以下欄位由 法律扶助基金會-檢警客服中心 填寫</t>
        </is>
      </c>
      <c r="H25" s="413" t="n"/>
      <c r="I25" s="413" t="n"/>
      <c r="J25" s="413" t="n"/>
      <c r="K25" s="413" t="n"/>
      <c r="L25" s="413" t="n"/>
      <c r="M25" s="413" t="n"/>
      <c r="N25" s="413" t="n"/>
      <c r="O25" s="413" t="n"/>
      <c r="P25" s="390" t="n"/>
    </row>
    <row r="26" ht="29.25" customHeight="1" s="683">
      <c r="C26" s="819" t="inlineStr">
        <is>
          <t>是否指派律師</t>
        </is>
      </c>
      <c r="D26" s="582" t="n"/>
      <c r="E26" s="583" t="n"/>
      <c r="F26" s="797" t="inlineStr">
        <is>
          <t xml:space="preserve"> □是 □否，原因：□不符合身分別   □無律師可前往   □其他：</t>
        </is>
      </c>
      <c r="G26" s="582" t="n"/>
      <c r="H26" s="582" t="n"/>
      <c r="I26" s="582" t="n"/>
      <c r="J26" s="582" t="n"/>
      <c r="K26" s="582" t="n"/>
      <c r="L26" s="582" t="n"/>
      <c r="M26" s="582" t="n"/>
      <c r="N26" s="582" t="n"/>
      <c r="O26" s="583" t="n"/>
    </row>
    <row r="27" ht="21.75" customHeight="1" s="683">
      <c r="C27" s="779" t="inlineStr">
        <is>
          <t>律師預計到場時間</t>
        </is>
      </c>
      <c r="D27" s="579" t="n"/>
      <c r="E27" s="576" t="n"/>
      <c r="F27" s="785" t="inlineStr">
        <is>
          <t xml:space="preserve">　　　　年　　　　月　　　　日　　　　時　　　　分（24小時制）</t>
        </is>
      </c>
      <c r="G27" s="579" t="n"/>
      <c r="H27" s="579" t="n"/>
      <c r="I27" s="579" t="n"/>
      <c r="J27" s="579" t="n"/>
      <c r="K27" s="579" t="n"/>
      <c r="L27" s="579" t="n"/>
      <c r="M27" s="579" t="n"/>
      <c r="N27" s="579" t="n"/>
      <c r="O27" s="576" t="n"/>
    </row>
    <row r="28" ht="33.75" customHeight="1" s="683">
      <c r="C28" s="787" t="inlineStr">
        <is>
          <t>陪訊律師姓名</t>
        </is>
      </c>
      <c r="D28" s="579" t="n"/>
      <c r="E28" s="576" t="n"/>
      <c r="F28" s="575" t="n"/>
      <c r="G28" s="579" t="n"/>
      <c r="H28" s="579" t="n"/>
      <c r="I28" s="579" t="n"/>
      <c r="J28" s="576" t="n"/>
      <c r="K28" s="787" t="inlineStr">
        <is>
          <t>陪訊律師電話</t>
        </is>
      </c>
      <c r="L28" s="576" t="n"/>
      <c r="M28" s="591" t="n"/>
      <c r="N28" s="579" t="n"/>
      <c r="O28" s="576" t="n"/>
    </row>
    <row r="29" ht="21" customHeight="1" s="683">
      <c r="C29" s="819" t="inlineStr">
        <is>
          <t>客服中心承辦人</t>
        </is>
      </c>
      <c r="D29" s="582" t="n"/>
      <c r="E29" s="583" t="n"/>
      <c r="F29" s="575" t="n"/>
      <c r="G29" s="576" t="n"/>
      <c r="H29" s="779" t="inlineStr">
        <is>
          <t>電話</t>
        </is>
      </c>
      <c r="I29" s="814" t="inlineStr">
        <is>
          <t>02-2559-2119</t>
        </is>
      </c>
      <c r="J29" s="579" t="n"/>
      <c r="K29" s="579" t="n"/>
      <c r="L29" s="579" t="n"/>
      <c r="M29" s="576" t="n"/>
      <c r="N29" s="444" t="inlineStr">
        <is>
          <t>傳真</t>
        </is>
      </c>
      <c r="O29" s="410" t="inlineStr">
        <is>
          <t>02-2322-5587</t>
        </is>
      </c>
      <c r="P29" s="408" t="n"/>
      <c r="Q29" s="409" t="n"/>
    </row>
    <row r="30" ht="22.5" customHeight="1" s="683">
      <c r="C30" s="779" t="inlineStr">
        <is>
          <t>回傳通報機關時間</t>
        </is>
      </c>
      <c r="D30" s="579" t="n"/>
      <c r="E30" s="576" t="n"/>
      <c r="F30" s="767" t="inlineStr">
        <is>
          <t xml:space="preserve">　　　　年　　　　月　　　　日　　　　時　　　　分（24小時制）</t>
        </is>
      </c>
      <c r="G30" s="579" t="n"/>
      <c r="H30" s="579" t="n"/>
      <c r="I30" s="579" t="n"/>
      <c r="J30" s="579" t="n"/>
      <c r="K30" s="579" t="n"/>
      <c r="L30" s="579" t="n"/>
      <c r="M30" s="579" t="n"/>
      <c r="N30" s="579" t="n"/>
      <c r="O30" s="576" t="n"/>
    </row>
  </sheetData>
  <mergeCells count="54">
    <mergeCell ref="F22:O22"/>
    <mergeCell ref="A5:D5"/>
    <mergeCell ref="E2:Q2"/>
    <mergeCell ref="D15:F18"/>
    <mergeCell ref="F27:O27"/>
    <mergeCell ref="F29:G29"/>
    <mergeCell ref="A8:D10"/>
    <mergeCell ref="E8:H9"/>
    <mergeCell ref="M15:N18"/>
    <mergeCell ref="A2:D4"/>
    <mergeCell ref="G18:L18"/>
    <mergeCell ref="C22:E22"/>
    <mergeCell ref="I6:J10"/>
    <mergeCell ref="L21:O21"/>
    <mergeCell ref="G13:P14"/>
    <mergeCell ref="E7:H7"/>
    <mergeCell ref="A11:Q11"/>
    <mergeCell ref="A1:Q1"/>
    <mergeCell ref="B13:C18"/>
    <mergeCell ref="M28:O28"/>
    <mergeCell ref="G15:L15"/>
    <mergeCell ref="O17:P18"/>
    <mergeCell ref="C27:E27"/>
    <mergeCell ref="C23:E23"/>
    <mergeCell ref="B19:P19"/>
    <mergeCell ref="E3:Q3"/>
    <mergeCell ref="E5:H5"/>
    <mergeCell ref="C20:E21"/>
    <mergeCell ref="K5:Q5"/>
    <mergeCell ref="C28:E28"/>
    <mergeCell ref="G16:L16"/>
    <mergeCell ref="A6:D6"/>
    <mergeCell ref="A12:Q12"/>
    <mergeCell ref="F30:O30"/>
    <mergeCell ref="A7:D7"/>
    <mergeCell ref="I5:J5"/>
    <mergeCell ref="F28:J28"/>
    <mergeCell ref="E4:Q4"/>
    <mergeCell ref="C30:E30"/>
    <mergeCell ref="D13:F14"/>
    <mergeCell ref="E10:H10"/>
    <mergeCell ref="I29:M29"/>
    <mergeCell ref="F26:O26"/>
    <mergeCell ref="F20:J21"/>
    <mergeCell ref="K28:L28"/>
    <mergeCell ref="K9:Q10"/>
    <mergeCell ref="E6:H6"/>
    <mergeCell ref="G17:L17"/>
    <mergeCell ref="C26:E26"/>
    <mergeCell ref="L20:O20"/>
    <mergeCell ref="C29:E29"/>
    <mergeCell ref="K8:Q8"/>
    <mergeCell ref="F23:O23"/>
    <mergeCell ref="K6:Q7"/>
  </mergeCells>
  <pageMargins left="0.2362204724409449" right="0.2362204724409449" top="0.7480314960629921" bottom="0.7480314960629921" header="0.3149606299212598" footer="0.3149606299212598"/>
  <pageSetup orientation="portrait" paperSize="9" scale="93"/>
</worksheet>
</file>

<file path=xl/worksheets/sheet20.xml><?xml version="1.0" encoding="utf-8"?>
<worksheet xmlns="http://schemas.openxmlformats.org/spreadsheetml/2006/main">
  <sheetPr codeName="工作表16">
    <tabColor rgb="FF92D050"/>
    <outlinePr summaryBelow="1" summaryRight="1"/>
    <pageSetUpPr/>
  </sheetPr>
  <dimension ref="A1:G16"/>
  <sheetViews>
    <sheetView view="pageBreakPreview" zoomScale="85" zoomScaleNormal="100" zoomScaleSheetLayoutView="85" zoomScalePageLayoutView="85" workbookViewId="0">
      <selection activeCell="G4" sqref="G4:G5"/>
    </sheetView>
  </sheetViews>
  <sheetFormatPr baseColWidth="8" defaultRowHeight="16.5"/>
  <cols>
    <col width="10.75" customWidth="1" style="683" min="6" max="6"/>
    <col width="30.125" customWidth="1" style="683" min="7" max="7"/>
  </cols>
  <sheetData>
    <row r="1" ht="26.25" customHeight="1" s="683" thickTop="1">
      <c r="A1" s="830">
        <f>CONCATENATE(輸入!$S$18,輸入!$T$18,輸入!$S$19,輸入!$T$19)</f>
        <v/>
      </c>
      <c r="B1" s="831" t="n"/>
      <c r="C1" s="831" t="n"/>
      <c r="D1" s="831" t="n"/>
      <c r="E1" s="831" t="n"/>
      <c r="F1" s="831" t="n"/>
      <c r="G1" s="832" t="n"/>
    </row>
    <row r="2" ht="49.5" customHeight="1" s="683" thickBot="1">
      <c r="A2" s="846" t="inlineStr">
        <is>
          <t>刑法第185條之3第1項第1款酒精呼氣測定紀錄表</t>
        </is>
      </c>
      <c r="B2" s="669" t="n"/>
      <c r="C2" s="669" t="n"/>
      <c r="D2" s="669" t="n"/>
      <c r="E2" s="669" t="n"/>
      <c r="F2" s="669" t="n"/>
      <c r="G2" s="670" t="n"/>
    </row>
    <row r="3" ht="32.25" customHeight="1" s="683" thickBot="1">
      <c r="A3" s="853" t="inlineStr">
        <is>
          <t>受測人姓名</t>
        </is>
      </c>
      <c r="B3" s="803" t="n"/>
      <c r="C3" s="838">
        <f>word用!H2</f>
        <v/>
      </c>
      <c r="D3" s="802" t="n"/>
      <c r="E3" s="803" t="n"/>
      <c r="F3" s="446" t="inlineStr">
        <is>
          <t>測定時間</t>
        </is>
      </c>
      <c r="G3" s="115">
        <f>調閱用!$G$24</f>
        <v/>
      </c>
    </row>
    <row r="4" ht="16.5" customHeight="1" s="683">
      <c r="A4" s="822" t="inlineStr">
        <is>
          <t>當事人自述</t>
        </is>
      </c>
      <c r="B4" s="823" t="n"/>
      <c r="C4" s="1335">
        <f>IF(ISBLANK(輸入!$H$8),"    時    分",輸入!$H$8)</f>
        <v/>
      </c>
      <c r="D4" s="734" t="n"/>
      <c r="E4" s="848" t="n"/>
      <c r="F4" s="838" t="inlineStr">
        <is>
          <t>是否漱口</t>
        </is>
      </c>
      <c r="G4" s="840" t="inlineStr">
        <is>
          <t>□是 □否</t>
        </is>
      </c>
    </row>
    <row r="5" ht="16.5" customHeight="1" s="683" thickBot="1">
      <c r="A5" s="845" t="inlineStr">
        <is>
          <t>喝酒後經過時間</t>
        </is>
      </c>
      <c r="B5" s="800" t="n"/>
      <c r="C5" s="844" t="n"/>
      <c r="D5" s="669" t="n"/>
      <c r="E5" s="800" t="n"/>
      <c r="F5" s="839" t="n"/>
      <c r="G5" s="841" t="n"/>
    </row>
    <row r="6" ht="16.5" customHeight="1" s="683">
      <c r="A6" s="833" t="inlineStr">
        <is>
          <t>酒精測定
方式與結果</t>
        </is>
      </c>
      <c r="B6" s="834" t="n"/>
      <c r="C6" s="836" t="inlineStr">
        <is>
          <t xml:space="preserve"> V以呼氣測試酒精濃度 (附測定表)</t>
        </is>
      </c>
      <c r="D6" s="734" t="n"/>
      <c r="E6" s="734" t="n"/>
      <c r="F6" s="734" t="n"/>
      <c r="G6" s="837" t="n"/>
    </row>
    <row r="7" ht="16.5" customHeight="1" s="683">
      <c r="A7" s="676" t="n"/>
      <c r="B7" s="728" t="n"/>
      <c r="C7" s="826" t="inlineStr">
        <is>
          <t>□以抽血檢驗酒精濃度 (附檢驗單)</t>
        </is>
      </c>
      <c r="G7" s="668" t="n"/>
    </row>
    <row r="8" ht="33" customHeight="1" s="683">
      <c r="A8" s="676" t="n"/>
      <c r="B8" s="728" t="n"/>
      <c r="C8" s="826" t="inlineStr">
        <is>
          <t>□以_________(尿液、唾液或其他檢體)檢驗酒精濃度(附檢驗單)</t>
        </is>
      </c>
      <c r="G8" s="668" t="n"/>
    </row>
    <row r="9" ht="33" customHeight="1" s="683" thickBot="1">
      <c r="A9" s="835" t="n"/>
      <c r="B9" s="800" t="n"/>
      <c r="C9" s="824" t="inlineStr">
        <is>
          <t>□抽血檢驗酒精濃度(mg/dL)換算百分比濃度為：     ％ 【(mg/dL)/1000】</t>
        </is>
      </c>
      <c r="D9" s="771" t="n"/>
      <c r="E9" s="771" t="n"/>
      <c r="F9" s="771" t="n"/>
      <c r="G9" s="825" t="n"/>
    </row>
    <row r="10" ht="212.25" customHeight="1" s="683">
      <c r="A10" s="833" t="inlineStr">
        <is>
          <t>酒精濃度
檢測單</t>
        </is>
      </c>
      <c r="B10" s="834" t="n"/>
      <c r="C10" s="842" t="inlineStr">
        <is>
          <t>( 黏貼處 )</t>
        </is>
      </c>
      <c r="D10" s="734" t="n"/>
      <c r="E10" s="734" t="n"/>
      <c r="F10" s="734" t="n"/>
      <c r="G10" s="843" t="n"/>
    </row>
    <row r="11" ht="261.75" customHeight="1" s="683" thickBot="1">
      <c r="A11" s="835" t="n"/>
      <c r="B11" s="800" t="n"/>
      <c r="C11" s="844" t="n"/>
      <c r="D11" s="669" t="n"/>
      <c r="E11" s="669" t="n"/>
      <c r="F11" s="669" t="n"/>
      <c r="G11" s="670" t="n"/>
    </row>
    <row r="12">
      <c r="A12" s="114" t="inlineStr">
        <is>
          <t>填</t>
        </is>
      </c>
      <c r="B12" s="827" t="n"/>
      <c r="C12" s="735" t="n"/>
      <c r="D12" s="445" t="inlineStr">
        <is>
          <t>備</t>
        </is>
      </c>
      <c r="E12" s="849" t="n"/>
      <c r="F12" s="734" t="n"/>
      <c r="G12" s="837" t="n"/>
    </row>
    <row r="13">
      <c r="A13" s="114" t="inlineStr">
        <is>
          <t>表</t>
        </is>
      </c>
      <c r="B13" s="725" t="n"/>
      <c r="C13" s="792" t="n"/>
      <c r="D13" s="445" t="n"/>
      <c r="E13" s="725" t="n"/>
      <c r="G13" s="850" t="n"/>
    </row>
    <row r="14" ht="17.25" customHeight="1" s="683" thickBot="1">
      <c r="A14" s="113" t="inlineStr">
        <is>
          <t>人</t>
        </is>
      </c>
      <c r="B14" s="828" t="n"/>
      <c r="C14" s="829" t="n"/>
      <c r="D14" s="112" t="inlineStr">
        <is>
          <t>註</t>
        </is>
      </c>
      <c r="E14" s="828" t="n"/>
      <c r="F14" s="851" t="n"/>
      <c r="G14" s="852" t="n"/>
    </row>
    <row r="15" ht="17.25" customHeight="1" s="683" thickTop="1">
      <c r="A15" s="111" t="n"/>
      <c r="B15" s="111" t="n"/>
      <c r="C15" s="111" t="n"/>
      <c r="D15" s="111" t="n"/>
      <c r="E15" s="111" t="n"/>
      <c r="F15" s="111" t="n"/>
      <c r="G15" s="111" t="n"/>
    </row>
    <row r="16">
      <c r="A16" s="106" t="n"/>
    </row>
  </sheetData>
  <mergeCells count="18">
    <mergeCell ref="A4:B4"/>
    <mergeCell ref="C9:G9"/>
    <mergeCell ref="C7:G7"/>
    <mergeCell ref="B12:C14"/>
    <mergeCell ref="A1:G1"/>
    <mergeCell ref="A6:B9"/>
    <mergeCell ref="C6:G6"/>
    <mergeCell ref="F4:F5"/>
    <mergeCell ref="G4:G5"/>
    <mergeCell ref="C10:G11"/>
    <mergeCell ref="A5:B5"/>
    <mergeCell ref="A10:B11"/>
    <mergeCell ref="A2:G2"/>
    <mergeCell ref="C4:E5"/>
    <mergeCell ref="C3:E3"/>
    <mergeCell ref="E12:G14"/>
    <mergeCell ref="C8:G8"/>
    <mergeCell ref="A3:B3"/>
  </mergeCells>
  <pageMargins left="0.7" right="0.7" top="0.75" bottom="0.75" header="0.3" footer="0.3"/>
  <pageSetup orientation="portrait" paperSize="9"/>
</worksheet>
</file>

<file path=xl/worksheets/sheet21.xml><?xml version="1.0" encoding="utf-8"?>
<worksheet xmlns="http://schemas.openxmlformats.org/spreadsheetml/2006/main">
  <sheetPr codeName="工作表17">
    <tabColor rgb="FF92D050"/>
    <outlinePr summaryBelow="1" summaryRight="1"/>
    <pageSetUpPr/>
  </sheetPr>
  <dimension ref="A1:U25"/>
  <sheetViews>
    <sheetView showGridLines="0" view="pageBreakPreview" topLeftCell="A13" zoomScaleNormal="100" zoomScaleSheetLayoutView="100" workbookViewId="0">
      <selection activeCell="A3" sqref="A3:U6"/>
    </sheetView>
  </sheetViews>
  <sheetFormatPr baseColWidth="8" defaultRowHeight="16.5"/>
  <cols>
    <col width="4.125" customWidth="1" style="683" min="1" max="42"/>
  </cols>
  <sheetData>
    <row r="1" ht="36.75" customHeight="1" s="683">
      <c r="A1" s="854" t="inlineStr">
        <is>
          <t xml:space="preserve">  酒後駕車代保管車輛領回授權委託書</t>
        </is>
      </c>
    </row>
    <row r="2" ht="36.75" customHeight="1" s="683">
      <c r="A2" s="854" t="n"/>
      <c r="B2" s="854" t="n"/>
      <c r="C2" s="854" t="n"/>
      <c r="D2" s="854" t="n"/>
      <c r="E2" s="854" t="n"/>
      <c r="F2" s="854" t="n"/>
      <c r="G2" s="854" t="n"/>
      <c r="H2" s="854" t="n"/>
      <c r="I2" s="854" t="n"/>
      <c r="J2" s="854" t="n"/>
      <c r="K2" s="854" t="n"/>
      <c r="L2" s="854" t="n"/>
      <c r="M2" s="854" t="n"/>
      <c r="N2" s="854" t="n"/>
      <c r="O2" s="854" t="n"/>
      <c r="P2" s="854" t="n"/>
      <c r="Q2" s="854" t="n"/>
      <c r="R2" s="854" t="n"/>
      <c r="S2" s="854" t="n"/>
      <c r="T2" s="854" t="n"/>
      <c r="U2" s="854" t="n"/>
    </row>
    <row r="3" ht="39" customHeight="1" s="683">
      <c r="A3" s="857">
        <f>CONCATENATE("　　本人",IF(ISNUMBER(SEARCH("涉嫌人",輸入!$M$17)),輸入!$B$17,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所駕之",word用!$Z$2,"（車號：",UPPER(word用!$AA$2),"號）一部，於",LEFT(下拉用!$J$10,10),"為貴單位代保管，經委託（受託人）代為領回該車輛，其所生之權利義務由本人負責，特立本委託書為憑。")</f>
        <v/>
      </c>
    </row>
    <row r="4" ht="39" customHeight="1" s="683"/>
    <row r="5" ht="39" customHeight="1" s="683"/>
    <row r="6" ht="30" customHeight="1" s="683"/>
    <row r="7" ht="30" customHeight="1" s="683">
      <c r="A7" s="857" t="n"/>
      <c r="B7" s="857" t="n"/>
      <c r="C7" s="857" t="n"/>
      <c r="D7" s="857" t="n"/>
      <c r="E7" s="857" t="n"/>
      <c r="F7" s="857" t="n"/>
      <c r="G7" s="857" t="n"/>
      <c r="H7" s="857" t="n"/>
      <c r="I7" s="857" t="n"/>
      <c r="J7" s="857" t="n"/>
      <c r="K7" s="857" t="n"/>
      <c r="L7" s="857" t="n"/>
      <c r="M7" s="857" t="n"/>
      <c r="N7" s="857" t="n"/>
      <c r="O7" s="857" t="n"/>
      <c r="P7" s="857" t="n"/>
      <c r="Q7" s="857" t="n"/>
      <c r="R7" s="857" t="n"/>
      <c r="S7" s="857" t="n"/>
      <c r="T7" s="857" t="n"/>
      <c r="U7" s="857" t="n"/>
    </row>
    <row r="8" ht="39" customHeight="1" s="683">
      <c r="A8" s="156" t="inlineStr">
        <is>
          <t>此致</t>
        </is>
      </c>
    </row>
    <row r="9" ht="18.75" customHeight="1" s="683">
      <c r="A9" s="156" t="n"/>
    </row>
    <row r="10" ht="39" customHeight="1" s="683">
      <c r="A10" s="156">
        <f>CONCATENATE(輸入!$S$18,輸入!$T$18,輸入!$S$19,輸入!$T$19)</f>
        <v/>
      </c>
    </row>
    <row r="11" ht="39" customHeight="1" s="683">
      <c r="A11" s="156" t="n"/>
    </row>
    <row r="12" ht="30.75" customHeight="1" s="683">
      <c r="A12" s="855">
        <f>CONCATENATE("委託人：       　　　　       　　　(簽章或法人印鑑)")</f>
        <v/>
      </c>
    </row>
    <row r="13" ht="30.75" customHeight="1" s="683">
      <c r="A13" s="155">
        <f>CONCATENATE("身分證號碼：")</f>
        <v/>
      </c>
    </row>
    <row r="14" ht="30.75" customHeight="1" s="683">
      <c r="A14" s="155">
        <f>CONCATENATE("出生年月日：")</f>
        <v/>
      </c>
    </row>
    <row r="15" ht="30.75" customHeight="1" s="683">
      <c r="A15" s="155">
        <f>CONCATENATE("地址：")</f>
        <v/>
      </c>
    </row>
    <row r="16" ht="30.75" customHeight="1" s="683">
      <c r="A16" s="155">
        <f>CONCATENATE("聯絡電話：",輸入!AK29)</f>
        <v/>
      </c>
    </row>
    <row r="17" ht="6.75" customHeight="1" s="683">
      <c r="A17" s="155" t="n"/>
    </row>
    <row r="18" ht="30.75" customHeight="1" s="683">
      <c r="A18" s="155">
        <f>CONCATENATE("受委託人：")</f>
        <v/>
      </c>
    </row>
    <row r="19" ht="30.75" customHeight="1" s="683">
      <c r="A19" s="155">
        <f>CONCATENATE("身分證號碼：")</f>
        <v/>
      </c>
    </row>
    <row r="20" ht="30.75" customHeight="1" s="683">
      <c r="A20" s="155">
        <f>CONCATENATE("出生年月日：")</f>
        <v/>
      </c>
    </row>
    <row r="21" ht="30.75" customHeight="1" s="683">
      <c r="A21" s="155">
        <f>CONCATENATE("地址：")</f>
        <v/>
      </c>
    </row>
    <row r="22" ht="30.75" customHeight="1" s="683">
      <c r="A22" s="155">
        <f>CONCATENATE("聯絡電話：")</f>
        <v/>
      </c>
    </row>
    <row r="23" ht="13.5" customHeight="1" s="683">
      <c r="A23" s="593" t="n"/>
    </row>
    <row r="24" ht="13.5" customHeight="1" s="683">
      <c r="A24" s="593" t="n"/>
    </row>
    <row r="25" ht="27.75" customHeight="1" s="683">
      <c r="A25" s="856" t="inlineStr">
        <is>
          <t>中華民國　　年　　月　　日　　時　　分</t>
        </is>
      </c>
    </row>
  </sheetData>
  <mergeCells count="4">
    <mergeCell ref="A1:U1"/>
    <mergeCell ref="A12:U12"/>
    <mergeCell ref="A25:U25"/>
    <mergeCell ref="A3:U6"/>
  </mergeCells>
  <pageMargins left="0.7" right="0.7" top="0.75" bottom="0.75" header="0.3" footer="0.3"/>
  <pageSetup orientation="portrait" paperSize="9"/>
</worksheet>
</file>

<file path=xl/worksheets/sheet22.xml><?xml version="1.0" encoding="utf-8"?>
<worksheet xmlns="http://schemas.openxmlformats.org/spreadsheetml/2006/main">
  <sheetPr codeName="工作表18">
    <tabColor rgb="FF92D050"/>
    <outlinePr summaryBelow="1" summaryRight="1"/>
    <pageSetUpPr/>
  </sheetPr>
  <dimension ref="A1:F27"/>
  <sheetViews>
    <sheetView view="pageBreakPreview" topLeftCell="A10" zoomScale="70" zoomScaleNormal="100" zoomScaleSheetLayoutView="70" workbookViewId="0">
      <selection activeCell="A12" sqref="A12:F14"/>
    </sheetView>
  </sheetViews>
  <sheetFormatPr baseColWidth="8" defaultRowHeight="16.5"/>
  <cols>
    <col width="25.25" customWidth="1" style="683" min="1" max="1"/>
    <col width="6.125" customWidth="1" style="683" min="2" max="3"/>
    <col width="19.25" customWidth="1" style="683" min="4" max="4"/>
    <col width="16.125" customWidth="1" style="683" min="5" max="5"/>
    <col width="14.5" customWidth="1" style="683" min="6" max="6"/>
    <col width="2.75" customWidth="1" style="683" min="7" max="62"/>
  </cols>
  <sheetData>
    <row r="1" ht="30" customHeight="1" s="683" thickBot="1">
      <c r="A1" s="858">
        <f>CONCATENATE(輸入!F7,輸入!X6,輸入!AO7,輸入!AV7,"酒扣保管汽(機)車領回單")</f>
        <v/>
      </c>
      <c r="B1" s="851" t="n"/>
      <c r="C1" s="851" t="n"/>
      <c r="D1" s="851" t="n"/>
      <c r="E1" s="851" t="n"/>
      <c r="F1" s="851" t="n"/>
    </row>
    <row r="2" ht="21" customHeight="1" s="683" thickBot="1" thickTop="1">
      <c r="A2" s="65" t="inlineStr">
        <is>
          <t>品名</t>
        </is>
      </c>
      <c r="B2" s="64" t="inlineStr">
        <is>
          <t>單位</t>
        </is>
      </c>
      <c r="C2" s="64" t="inlineStr">
        <is>
          <t>數量</t>
        </is>
      </c>
      <c r="D2" s="64" t="inlineStr">
        <is>
          <t>規格</t>
        </is>
      </c>
      <c r="E2" s="64" t="inlineStr">
        <is>
          <t>特徵</t>
        </is>
      </c>
      <c r="F2" s="63" t="inlineStr">
        <is>
          <t>備考</t>
        </is>
      </c>
    </row>
    <row r="3" ht="41.25" customHeight="1" s="683" thickBot="1" thickTop="1">
      <c r="A3" s="62">
        <f>CONCATENATE(輸入!$K$3,"(",UPPER(輸入!$K$4),")")</f>
        <v/>
      </c>
      <c r="B3" s="61" t="inlineStr">
        <is>
          <t>臺</t>
        </is>
      </c>
      <c r="C3" s="61" t="inlineStr">
        <is>
          <t>壹</t>
        </is>
      </c>
      <c r="D3" s="61" t="n"/>
      <c r="E3" s="60" t="n"/>
      <c r="F3" s="57" t="n"/>
    </row>
    <row r="4" ht="41.25" customHeight="1" s="683" thickBot="1" thickTop="1">
      <c r="A4" s="59" t="n"/>
      <c r="B4" s="58" t="n"/>
      <c r="C4" s="58" t="n"/>
      <c r="D4" s="58" t="n"/>
      <c r="E4" s="58" t="n"/>
      <c r="F4" s="57" t="n"/>
    </row>
    <row r="5" ht="41.25" customHeight="1" s="683" thickBot="1" thickTop="1">
      <c r="A5" s="59" t="n"/>
      <c r="B5" s="58" t="n"/>
      <c r="C5" s="58" t="n"/>
      <c r="D5" s="58" t="n"/>
      <c r="E5" s="58" t="n"/>
      <c r="F5" s="57" t="n"/>
    </row>
    <row r="6" ht="41.25" customHeight="1" s="683" thickBot="1" thickTop="1">
      <c r="A6" s="59" t="n"/>
      <c r="B6" s="58" t="n"/>
      <c r="C6" s="58" t="n"/>
      <c r="D6" s="58" t="n"/>
      <c r="E6" s="58" t="n"/>
      <c r="F6" s="57" t="n"/>
    </row>
    <row r="7" ht="41.25" customHeight="1" s="683" thickBot="1" thickTop="1">
      <c r="A7" s="59" t="n"/>
      <c r="B7" s="58" t="n"/>
      <c r="C7" s="58" t="n"/>
      <c r="D7" s="58" t="n"/>
      <c r="E7" s="58" t="n"/>
      <c r="F7" s="57" t="n"/>
    </row>
    <row r="8" ht="41.25" customHeight="1" s="683" thickBot="1" thickTop="1">
      <c r="A8" s="59" t="n"/>
      <c r="B8" s="58" t="n"/>
      <c r="C8" s="58" t="n"/>
      <c r="D8" s="58" t="n"/>
      <c r="E8" s="58" t="n"/>
      <c r="F8" s="57" t="n"/>
    </row>
    <row r="9" ht="41.25" customHeight="1" s="683" thickBot="1" thickTop="1">
      <c r="A9" s="59" t="n"/>
      <c r="B9" s="58" t="n"/>
      <c r="C9" s="58" t="n"/>
      <c r="D9" s="58" t="n"/>
      <c r="E9" s="58" t="n"/>
      <c r="F9" s="57" t="n"/>
    </row>
    <row r="10" ht="41.25" customHeight="1" s="683" thickBot="1" thickTop="1">
      <c r="A10" s="59" t="n"/>
      <c r="B10" s="58" t="n"/>
      <c r="C10" s="58" t="n"/>
      <c r="D10" s="58" t="n"/>
      <c r="E10" s="58" t="n"/>
      <c r="F10" s="57" t="n"/>
    </row>
    <row r="11" ht="8.25" customHeight="1" s="683" thickTop="1">
      <c r="A11" s="56" t="n"/>
      <c r="B11" s="56" t="n"/>
      <c r="C11" s="56" t="n"/>
      <c r="D11" s="56" t="n"/>
      <c r="E11" s="56" t="n"/>
      <c r="F11" s="56" t="n"/>
    </row>
    <row r="12" ht="23.25" customHeight="1" s="683">
      <c r="A12" s="859">
        <f>CONCATENATE("上列物品係於民國",LEFT(下拉用!$J$5,10),"因",呈報單!$G$15,"查扣，現經領回，現將物品發還，與扣車時外觀相符並無損壞，確認無誤後領回，如有冒領情事願負法律責任。")</f>
        <v/>
      </c>
    </row>
    <row r="13" ht="23.25" customHeight="1" s="683"/>
    <row r="14" ht="23.25" customHeight="1" s="683"/>
    <row r="15" ht="12" customHeight="1" s="683">
      <c r="A15" s="859" t="n"/>
      <c r="B15" s="859" t="n"/>
      <c r="C15" s="859" t="n"/>
      <c r="D15" s="859" t="n"/>
      <c r="E15" s="859" t="n"/>
      <c r="F15" s="859" t="n"/>
    </row>
    <row r="16" ht="23.25" customHeight="1" s="683">
      <c r="A16" s="52" t="inlineStr">
        <is>
          <t>此    致</t>
        </is>
      </c>
    </row>
    <row r="17" ht="33" customHeight="1" s="683">
      <c r="A17" s="53">
        <f>CONCATENATE(輸入!$S$18,輸入!$T$18,輸入!$S$19,輸入!$T$19)</f>
        <v/>
      </c>
    </row>
    <row r="18" ht="30" customHeight="1" s="683">
      <c r="A18" s="860">
        <f>CONCATENATE("　　　　　　具領人：    　　　　(簽名)","　年齡：      　　職業：")</f>
        <v/>
      </c>
    </row>
    <row r="19" ht="30" customHeight="1" s="683">
      <c r="A19" s="52">
        <f>CONCATENATE("　　　　　　身分證統一編號：")</f>
        <v/>
      </c>
    </row>
    <row r="20" ht="30" customHeight="1" s="683">
      <c r="A20" s="52">
        <f>CONCATENATE("　　　　　　住址：")</f>
        <v/>
      </c>
    </row>
    <row r="21" ht="30" customHeight="1" s="683">
      <c r="A21" s="55" t="n"/>
    </row>
    <row r="22" ht="30" customHeight="1" s="683">
      <c r="A22" s="52" t="inlineStr">
        <is>
          <t xml:space="preserve">　　　　　　保證人：　　　　　　商號名稱：</t>
        </is>
      </c>
    </row>
    <row r="23" ht="30" customHeight="1" s="683">
      <c r="A23" s="55" t="inlineStr">
        <is>
          <t xml:space="preserve">　　　　　　姓名：                      年齡：           聯絡電話：</t>
        </is>
      </c>
    </row>
    <row r="24" ht="30" customHeight="1" s="683">
      <c r="A24" s="52" t="inlineStr">
        <is>
          <t xml:space="preserve">　　　　　　住址：</t>
        </is>
      </c>
    </row>
    <row r="25" ht="22.5" customHeight="1" s="683">
      <c r="A25" s="54" t="n"/>
    </row>
    <row r="26" ht="22.5" customHeight="1" s="683">
      <c r="A26" s="54" t="n"/>
    </row>
    <row r="27" ht="25.5" customHeight="1" s="683">
      <c r="A27" s="53" t="inlineStr">
        <is>
          <t>中  華  民  國　　　　年　　　　月　　　　日</t>
        </is>
      </c>
      <c r="B27" s="53" t="n"/>
      <c r="C27" s="53" t="n"/>
      <c r="D27" s="53" t="n"/>
      <c r="E27" s="53" t="n"/>
      <c r="F27" s="53" t="n"/>
    </row>
  </sheetData>
  <mergeCells count="3">
    <mergeCell ref="A1:F1"/>
    <mergeCell ref="A12:F14"/>
    <mergeCell ref="A18:F18"/>
  </mergeCells>
  <pageMargins left="0.7" right="0.7" top="0.75" bottom="0.75" header="0.3" footer="0.3"/>
  <pageSetup orientation="portrait" paperSize="9" scale="95"/>
</worksheet>
</file>

<file path=xl/worksheets/sheet23.xml><?xml version="1.0" encoding="utf-8"?>
<worksheet xmlns="http://schemas.openxmlformats.org/spreadsheetml/2006/main">
  <sheetPr codeName="工作表42">
    <tabColor theme="9" tint="-0.249977111117893"/>
    <outlinePr summaryBelow="1" summaryRight="1"/>
    <pageSetUpPr/>
  </sheetPr>
  <dimension ref="A1:U18"/>
  <sheetViews>
    <sheetView showGridLines="0" view="pageBreakPreview" topLeftCell="A10" zoomScaleNormal="100" zoomScaleSheetLayoutView="100" workbookViewId="0">
      <selection activeCell="F8" sqref="F8:H8"/>
    </sheetView>
  </sheetViews>
  <sheetFormatPr baseColWidth="8" defaultRowHeight="16.5"/>
  <cols>
    <col width="4" customWidth="1" style="683" min="1" max="26"/>
  </cols>
  <sheetData>
    <row r="1" ht="33.75" customHeight="1" s="683">
      <c r="A1" s="863">
        <f>CONCATENATE(輸入!$S$18,輸入!$T$18,輸入!$S$19,輸入!$T$19)</f>
        <v/>
      </c>
    </row>
    <row r="2" ht="33.75" customHeight="1" s="683">
      <c r="A2" s="863" t="inlineStr">
        <is>
          <t>查扣物品檢驗結果無毒品成分代為毀棄同意書</t>
        </is>
      </c>
    </row>
    <row r="3" ht="33.75" customHeight="1" s="683">
      <c r="A3" s="761">
        <f>CONCATENATE("查獲時間:",下拉用!$J$5)</f>
        <v/>
      </c>
    </row>
    <row r="4" ht="33.75" customHeight="1" s="683">
      <c r="A4" s="761">
        <f>CONCATENATE("查獲地點:",輸入!$C$7)</f>
        <v/>
      </c>
    </row>
    <row r="5" ht="33.75" customHeight="1" s="683">
      <c r="A5" s="761">
        <f>CONCATENATE("查獲單位:",輸入!$S$20,輸入!$T$20)</f>
        <v/>
      </c>
    </row>
    <row r="6" ht="33.75" customHeight="1" s="683">
      <c r="A6" s="156" t="inlineStr">
        <is>
          <t>扣押物品初驗含毒品成分目錄表</t>
        </is>
      </c>
      <c r="B6" s="156" t="n"/>
      <c r="C6" s="156" t="n"/>
      <c r="D6" s="156" t="n"/>
      <c r="E6" s="156" t="n"/>
      <c r="F6" s="156" t="n"/>
      <c r="G6" s="156" t="n"/>
      <c r="H6" s="156" t="n"/>
      <c r="I6" s="156" t="n"/>
      <c r="J6" s="156" t="n"/>
      <c r="K6" s="156" t="n"/>
      <c r="L6" s="156" t="n"/>
      <c r="M6" s="156" t="n"/>
      <c r="N6" s="156" t="n"/>
      <c r="O6" s="156" t="n"/>
      <c r="P6" s="156" t="n"/>
      <c r="Q6" s="156" t="n"/>
      <c r="R6" s="156" t="n"/>
      <c r="S6" s="156" t="n"/>
      <c r="T6" s="156" t="n"/>
      <c r="U6" s="156" t="n"/>
    </row>
    <row r="7" ht="33.75" customHeight="1" s="683">
      <c r="A7" s="864" t="inlineStr">
        <is>
          <t>品名</t>
        </is>
      </c>
      <c r="B7" s="579" t="n"/>
      <c r="C7" s="579" t="n"/>
      <c r="D7" s="579" t="n"/>
      <c r="E7" s="576" t="n"/>
      <c r="F7" s="864" t="inlineStr">
        <is>
          <t>單位</t>
        </is>
      </c>
      <c r="G7" s="579" t="n"/>
      <c r="H7" s="576" t="n"/>
      <c r="I7" s="864" t="inlineStr">
        <is>
          <t>數量</t>
        </is>
      </c>
      <c r="J7" s="579" t="n"/>
      <c r="K7" s="576" t="n"/>
      <c r="L7" s="864" t="inlineStr">
        <is>
          <t>所有人</t>
        </is>
      </c>
      <c r="M7" s="579" t="n"/>
      <c r="N7" s="579" t="n"/>
      <c r="O7" s="579" t="n"/>
      <c r="P7" s="579" t="n"/>
      <c r="Q7" s="576" t="n"/>
      <c r="R7" s="864" t="inlineStr">
        <is>
          <t>備考</t>
        </is>
      </c>
      <c r="S7" s="579" t="n"/>
      <c r="T7" s="579" t="n"/>
      <c r="U7" s="576" t="n"/>
    </row>
    <row r="8" ht="48.75" customHeight="1" s="683">
      <c r="A8" s="861">
        <f>CONCATENATE(輸入!$H$7)</f>
        <v/>
      </c>
      <c r="B8" s="579" t="n"/>
      <c r="C8" s="579" t="n"/>
      <c r="D8" s="579" t="n"/>
      <c r="E8" s="576" t="n"/>
      <c r="F8" s="697">
        <f>輸入!$H$11</f>
        <v/>
      </c>
      <c r="G8" s="579" t="n"/>
      <c r="H8" s="576" t="n"/>
      <c r="I8" s="861">
        <f>輸入!$H$10</f>
        <v/>
      </c>
      <c r="J8" s="579" t="n"/>
      <c r="K8" s="576" t="n"/>
      <c r="L8" s="862" t="n"/>
      <c r="M8" s="579" t="n"/>
      <c r="N8" s="579" t="n"/>
      <c r="O8" s="579" t="n"/>
      <c r="P8" s="579" t="n"/>
      <c r="Q8" s="576" t="n"/>
      <c r="R8" s="657">
        <f>CONCATENATE("毛重：",IF(輸入!$H$8&gt;0,輸入!$H$8&amp;"公克","殘渣無法磅秤"),CHAR(10),"淨重：",IF(輸入!$H$9&gt;0,輸入!$H$9&amp;"公克","殘渣無法磅秤"))</f>
        <v/>
      </c>
      <c r="S8" s="579" t="n"/>
      <c r="T8" s="579" t="n"/>
      <c r="U8" s="576" t="n"/>
    </row>
    <row r="9" ht="48.75" customHeight="1" s="683">
      <c r="A9" s="861" t="n"/>
      <c r="B9" s="579" t="n"/>
      <c r="C9" s="579" t="n"/>
      <c r="D9" s="579" t="n"/>
      <c r="E9" s="576" t="n"/>
      <c r="F9" s="697" t="n"/>
      <c r="G9" s="579" t="n"/>
      <c r="H9" s="576" t="n"/>
      <c r="I9" s="861" t="n"/>
      <c r="J9" s="579" t="n"/>
      <c r="K9" s="576" t="n"/>
      <c r="L9" s="862" t="n"/>
      <c r="M9" s="579" t="n"/>
      <c r="N9" s="579" t="n"/>
      <c r="O9" s="579" t="n"/>
      <c r="P9" s="579" t="n"/>
      <c r="Q9" s="576" t="n"/>
      <c r="R9" s="581" t="n"/>
      <c r="S9" s="579" t="n"/>
      <c r="T9" s="579" t="n"/>
      <c r="U9" s="576" t="n"/>
    </row>
    <row r="10" ht="48.75" customHeight="1" s="683">
      <c r="A10" s="861">
        <f>IF(被害人筆錄!B9=FALSE,IF(下拉用!#REF!=FALSE,CONCATENATE(輸入!H33)," ")," ")</f>
        <v/>
      </c>
      <c r="B10" s="579" t="n"/>
      <c r="C10" s="579" t="n"/>
      <c r="D10" s="579" t="n"/>
      <c r="E10" s="576" t="n"/>
      <c r="F10" s="697">
        <f>IF(被害人筆錄!B9=FALSE,IF(下拉用!#REF!=FALSE,CONCATENATE(輸入!T34)," ")," ")</f>
        <v/>
      </c>
      <c r="G10" s="579" t="n"/>
      <c r="H10" s="576" t="n"/>
      <c r="I10" s="861">
        <f>IF(被害人筆錄!B9=FALSE,IF(下拉用!#REF!=FALSE,CONCATENATE(輸入!T33)," ")," ")</f>
        <v/>
      </c>
      <c r="J10" s="579" t="n"/>
      <c r="K10" s="576" t="n"/>
      <c r="L10" s="862" t="n"/>
      <c r="M10" s="579" t="n"/>
      <c r="N10" s="579" t="n"/>
      <c r="O10" s="579" t="n"/>
      <c r="P10" s="579" t="n"/>
      <c r="Q10" s="576" t="n"/>
      <c r="R10" s="657">
        <f>IF(被害人筆錄!B9=FALSE,IF(下拉用!#REF!=FALSE,CONCATENATE(IF(輸入!T33&gt;1,IF(下拉用!#REF!=TRUE,"殘渣無法磅秤",IF(下拉用!#REF!=TRUE,CONCATENATE("總毛重：",輸入!AD33,輸入!#REF!,"、總淨重：殘渣無法磅秤"),CONCATENATE("總毛重：",輸入!AD33,輸入!#REF!,"、總淨重：",輸入!AD34,輸入!#REF!))),IF(下拉用!#REF!=TRUE,"殘渣無法磅秤",IF(下拉用!#REF!=TRUE,CONCATENATE("毛重：",輸入!AD33,輸入!#REF!,"、淨重：殘渣無法磅秤"),CONCATENATE("毛重：",輸入!AD33,輸入!#REF!,"、淨重：",輸入!AD34,輸入!#REF!)))))," ")," ")</f>
        <v/>
      </c>
      <c r="S10" s="579" t="n"/>
      <c r="T10" s="579" t="n"/>
      <c r="U10" s="576" t="n"/>
    </row>
    <row r="11" ht="48.75" customHeight="1" s="683">
      <c r="A11" s="861">
        <f>IF(被害人筆錄!B9=FALSE,IF(下拉用!#REF!=FALSE,IF(下拉用!#REF!=FALSE,CONCATENATE(輸入!H35)," ")," ")," ")</f>
        <v/>
      </c>
      <c r="B11" s="579" t="n"/>
      <c r="C11" s="579" t="n"/>
      <c r="D11" s="579" t="n"/>
      <c r="E11" s="576" t="n"/>
      <c r="F11" s="697">
        <f>IF(被害人筆錄!B9=FALSE,IF(下拉用!#REF!=FALSE,IF(下拉用!#REF!=FALSE,CONCATENATE(輸入!T36)," ")," ")," ")</f>
        <v/>
      </c>
      <c r="G11" s="579" t="n"/>
      <c r="H11" s="576" t="n"/>
      <c r="I11" s="861">
        <f>IF(被害人筆錄!B9=FALSE,IF(下拉用!#REF!=FALSE,IF(下拉用!#REF!=FALSE,CONCATENATE(輸入!T35)," ")," ")," ")</f>
        <v/>
      </c>
      <c r="J11" s="579" t="n"/>
      <c r="K11" s="576" t="n"/>
      <c r="L11" s="862" t="n"/>
      <c r="M11" s="579" t="n"/>
      <c r="N11" s="579" t="n"/>
      <c r="O11" s="579" t="n"/>
      <c r="P11" s="579" t="n"/>
      <c r="Q11" s="576" t="n"/>
      <c r="R11" s="581">
        <f>IF(被害人筆錄!B9=FALSE,IF(下拉用!#REF!=FALSE,IF(下拉用!#REF!=FALSE,CONCATENATE(IF(輸入!T35&gt;1,IF(下拉用!#REF!=TRUE,"殘渣無法磅秤",IF(下拉用!#REF!=TRUE,CONCATENATE("總毛重：",輸入!AD35,輸入!#REF!,"、總淨重：殘渣無法磅秤"),CONCATENATE("總毛重：",輸入!AD35,輸入!#REF!,"、總淨重：",輸入!AD36,輸入!#REF!))),IF(下拉用!#REF!=TRUE,"殘渣無法磅秤",IF(下拉用!#REF!=TRUE,CONCATENATE("毛重：",輸入!AD35,輸入!#REF!,"、淨重：殘渣無法磅秤"),CONCATENATE("毛重：",輸入!AD35,輸入!#REF!,"、淨重：",輸入!AD36,輸入!#REF!)))))," ")," ")," ")</f>
        <v/>
      </c>
      <c r="S11" s="579" t="n"/>
      <c r="T11" s="579" t="n"/>
      <c r="U11" s="576" t="n"/>
    </row>
    <row r="12" ht="37.5" customHeight="1" s="683">
      <c r="A12" s="156" t="n"/>
    </row>
    <row r="13" ht="37.5" customHeight="1" s="683">
      <c r="A13" s="156" t="n"/>
    </row>
    <row r="14" ht="33.75" customHeight="1" s="683">
      <c r="A14" s="761" t="inlineStr">
        <is>
          <t>本人               同意以上物品，若送專業單位檢驗</t>
        </is>
      </c>
    </row>
    <row r="15" ht="33.75" customHeight="1" s="683">
      <c r="A15" s="761" t="inlineStr">
        <is>
          <t>結果無毒品成分，放棄領回，並由警察機關代為毀棄。</t>
        </is>
      </c>
    </row>
    <row r="16" ht="74.25" customHeight="1" s="683">
      <c r="A16" s="156" t="n"/>
    </row>
    <row r="17" ht="33.75" customHeight="1" s="683">
      <c r="A17" s="761" t="inlineStr">
        <is>
          <t>受執行人:                      (簽名捺印)</t>
        </is>
      </c>
    </row>
    <row r="18" ht="33.75" customHeight="1" s="683">
      <c r="A18" s="761" t="inlineStr">
        <is>
          <t>查獲員警:                      (職名章)</t>
        </is>
      </c>
    </row>
  </sheetData>
  <mergeCells count="34">
    <mergeCell ref="A11:E11"/>
    <mergeCell ref="F8:H8"/>
    <mergeCell ref="L8:Q8"/>
    <mergeCell ref="A18:U18"/>
    <mergeCell ref="A3:U3"/>
    <mergeCell ref="R9:U9"/>
    <mergeCell ref="A2:U2"/>
    <mergeCell ref="R8:U8"/>
    <mergeCell ref="L10:Q10"/>
    <mergeCell ref="A7:E7"/>
    <mergeCell ref="I8:K8"/>
    <mergeCell ref="A5:U5"/>
    <mergeCell ref="L9:Q9"/>
    <mergeCell ref="F9:H9"/>
    <mergeCell ref="R11:U11"/>
    <mergeCell ref="A14:U14"/>
    <mergeCell ref="A17:U17"/>
    <mergeCell ref="R10:U10"/>
    <mergeCell ref="A4:U4"/>
    <mergeCell ref="I10:K10"/>
    <mergeCell ref="L11:Q11"/>
    <mergeCell ref="I9:K9"/>
    <mergeCell ref="R7:U7"/>
    <mergeCell ref="A8:E8"/>
    <mergeCell ref="F11:H11"/>
    <mergeCell ref="F10:H10"/>
    <mergeCell ref="L7:Q7"/>
    <mergeCell ref="I11:K11"/>
    <mergeCell ref="A15:U15"/>
    <mergeCell ref="A10:E10"/>
    <mergeCell ref="F7:H7"/>
    <mergeCell ref="A1:U1"/>
    <mergeCell ref="A9:E9"/>
    <mergeCell ref="I7:K7"/>
  </mergeCells>
  <pageMargins left="0.7" right="0.7" top="0.75" bottom="0.75" header="0.3" footer="0.3"/>
  <pageSetup orientation="portrait" paperSize="9"/>
</worksheet>
</file>

<file path=xl/worksheets/sheet24.xml><?xml version="1.0" encoding="utf-8"?>
<worksheet xmlns="http://schemas.openxmlformats.org/spreadsheetml/2006/main">
  <sheetPr codeName="工作表39">
    <tabColor theme="9" tint="-0.249977111117893"/>
    <outlinePr summaryBelow="1" summaryRight="1"/>
    <pageSetUpPr/>
  </sheetPr>
  <dimension ref="A1:D27"/>
  <sheetViews>
    <sheetView showGridLines="0" view="pageBreakPreview" topLeftCell="A4" zoomScaleNormal="100" zoomScaleSheetLayoutView="100" workbookViewId="0">
      <selection activeCell="C12" sqref="C12:C15"/>
    </sheetView>
  </sheetViews>
  <sheetFormatPr baseColWidth="8" defaultRowHeight="16.5"/>
  <cols>
    <col width="12.875" customWidth="1" style="683" min="1" max="1"/>
    <col width="23.875" customWidth="1" style="683" min="2" max="3"/>
    <col width="29.875" customWidth="1" style="683" min="4" max="4"/>
  </cols>
  <sheetData>
    <row r="1" ht="73.5" customHeight="1" s="683" thickTop="1">
      <c r="A1" s="884">
        <f>CONCATENATE(輸入!$S$18,輸入!$T$18,輸入!$S$19,輸入!$T$19)</f>
        <v/>
      </c>
      <c r="B1" s="882" t="n"/>
      <c r="C1" s="882" t="n"/>
      <c r="D1" s="883" t="n"/>
    </row>
    <row r="2" ht="49.5" customHeight="1" s="683" thickBot="1">
      <c r="A2" s="891" t="inlineStr">
        <is>
          <t>查獲涉嫌毒品危害防制條例毒品初步鑑驗報告書</t>
        </is>
      </c>
      <c r="B2" s="875" t="n"/>
      <c r="C2" s="875" t="n"/>
      <c r="D2" s="876" t="n"/>
    </row>
    <row r="3" ht="9.75" customHeight="1" s="683" thickTop="1">
      <c r="A3" s="869" t="inlineStr">
        <is>
          <t>案類</t>
        </is>
      </c>
      <c r="B3" s="449" t="inlineStr">
        <is>
          <t xml:space="preserve">
</t>
        </is>
      </c>
      <c r="C3" s="877" t="inlineStr">
        <is>
          <t>涉嫌人</t>
        </is>
      </c>
      <c r="D3" s="877" t="inlineStr">
        <is>
          <t>查獲時間地點</t>
        </is>
      </c>
    </row>
    <row r="4" ht="9.75" customHeight="1" s="683">
      <c r="A4" s="866" t="n"/>
      <c r="B4" s="450" t="n"/>
      <c r="C4" s="866" t="n"/>
      <c r="D4" s="866" t="n"/>
    </row>
    <row r="5" ht="9.75" customHeight="1" s="683" thickBot="1">
      <c r="A5" s="866" t="n"/>
      <c r="B5" s="450" t="n"/>
      <c r="C5" s="870" t="n"/>
      <c r="D5" s="870" t="n"/>
    </row>
    <row r="6" ht="29.25" customHeight="1" s="683" thickTop="1">
      <c r="A6" s="866" t="n"/>
      <c r="B6" s="450">
        <f>IF(輸入!$H$7=下拉用!$F$2," V一、海洛因","□一、海洛因")</f>
        <v/>
      </c>
      <c r="C6" s="892">
        <f>word用!$H$2</f>
        <v/>
      </c>
      <c r="D6" s="880">
        <f>CONCATENATE("查獲時間：",下拉用!$J$5)</f>
        <v/>
      </c>
    </row>
    <row r="7" ht="29.25" customHeight="1" s="683">
      <c r="A7" s="866" t="n"/>
      <c r="B7" s="450">
        <f>IF(輸入!$H$7=下拉用!$F$3," V二、安非他命","□二、安非他命")</f>
        <v/>
      </c>
      <c r="C7" s="866" t="n"/>
      <c r="D7" s="866" t="n"/>
    </row>
    <row r="8" ht="29.25" customHeight="1" s="683">
      <c r="A8" s="866" t="n"/>
      <c r="B8" s="450">
        <f>IF(輸入!$H$7=下拉用!$F$4," V三、愷他命","□三、愷他命")</f>
        <v/>
      </c>
      <c r="C8" s="866" t="n"/>
      <c r="D8" s="886">
        <f>CONCATENATE("查獲地點：",輸入!$C$7)</f>
        <v/>
      </c>
    </row>
    <row r="9" ht="29.25" customHeight="1" s="683" thickBot="1">
      <c r="A9" s="870" t="n"/>
      <c r="B9" s="451">
        <f>IF(輸入!$H$7=下拉用!$F$5," V四、一粒眠","□四、一粒眠")</f>
        <v/>
      </c>
      <c r="C9" s="870" t="n"/>
      <c r="D9" s="870" t="n"/>
    </row>
    <row r="10" ht="15" customHeight="1" s="683" thickTop="1">
      <c r="A10" s="878" t="inlineStr">
        <is>
          <t>初步
鑑驗
單位</t>
        </is>
      </c>
      <c r="B10" s="865">
        <f>CONCATENATE(輸入!$S$18,輸入!$T$18,CHAR(10),輸入!$S$19,輸入!$T$19,CHAR(10),輸入!$S$20,輸入!$T$20)</f>
        <v/>
      </c>
      <c r="C10" s="872" t="inlineStr">
        <is>
          <t>職別　姓名</t>
        </is>
      </c>
      <c r="D10" s="889" t="inlineStr">
        <is>
          <t>鑑驗時間地點</t>
        </is>
      </c>
    </row>
    <row r="11" ht="15" customHeight="1" s="683" thickBot="1">
      <c r="A11" s="866" t="n"/>
      <c r="B11" s="866" t="n"/>
      <c r="C11" s="870" t="n"/>
      <c r="D11" s="870" t="n"/>
    </row>
    <row r="12" ht="36.75" customHeight="1" s="683" thickTop="1">
      <c r="A12" s="866" t="n"/>
      <c r="B12" s="866" t="n"/>
      <c r="C12" s="879" t="inlineStr">
        <is>
          <t xml:space="preserve"> </t>
        </is>
      </c>
      <c r="D12" s="880">
        <f>CONCATENATE("鑑驗時間：",下拉用!$J$6)</f>
        <v/>
      </c>
    </row>
    <row r="13" ht="12.75" customHeight="1" s="683">
      <c r="A13" s="866" t="n"/>
      <c r="B13" s="866" t="n"/>
      <c r="C13" s="866" t="n"/>
      <c r="D13" s="866" t="n"/>
    </row>
    <row r="14" ht="52.5" customHeight="1" s="683">
      <c r="A14" s="866" t="n"/>
      <c r="B14" s="866" t="n"/>
      <c r="C14" s="866" t="n"/>
      <c r="D14" s="886">
        <f>CONCATENATE("鑑驗地點：",IF(輸入!$H$6=輸入!$C$7,輸入!$H$6,輸入!$S$23&amp;"("&amp;輸入!$S$20&amp;輸入!$T$20&amp;")"))</f>
        <v/>
      </c>
    </row>
    <row r="15" ht="7.5" customHeight="1" s="683" thickBot="1">
      <c r="A15" s="182" t="n"/>
      <c r="B15" s="452" t="n"/>
      <c r="C15" s="870" t="n"/>
      <c r="D15" s="870" t="n"/>
    </row>
    <row r="16" ht="45.75" customHeight="1" s="683" thickTop="1">
      <c r="A16" s="873" t="inlineStr">
        <is>
          <t>鑑驗
物品
及
數量</t>
        </is>
      </c>
      <c r="B16" s="888">
        <f>CONCATENATE("種　　類：",輸入!$H$7)</f>
        <v/>
      </c>
      <c r="C16" s="882" t="n"/>
      <c r="D16" s="883" t="n"/>
    </row>
    <row r="17" ht="45.75" customHeight="1" s="683">
      <c r="A17" s="866" t="n"/>
      <c r="B17" s="871">
        <f>CONCATENATE("重　　量：毛重：",IF(輸入!$H$8&gt;0,輸入!$H$8&amp;"公克","殘渣無法磅秤"),"、淨重：",IF(輸入!$H$9&gt;0,輸入!$H$9&amp;"公克","殘渣無法磅秤"))</f>
        <v/>
      </c>
      <c r="C17" s="637" t="n"/>
      <c r="D17" s="868" t="n"/>
    </row>
    <row r="18" ht="45.75" customHeight="1" s="683">
      <c r="A18" s="866" t="n"/>
      <c r="B18" s="871">
        <f>CONCATENATE("數　　量：",輸入!$H$10,輸入!$H$11)</f>
        <v/>
      </c>
      <c r="C18" s="637" t="n"/>
      <c r="D18" s="868" t="n"/>
    </row>
    <row r="19" ht="17.25" customHeight="1" s="683" thickBot="1">
      <c r="A19" s="870" t="n"/>
      <c r="B19" s="874" t="n"/>
      <c r="C19" s="875" t="n"/>
      <c r="D19" s="876" t="n"/>
    </row>
    <row r="20" ht="45" customHeight="1" s="683" thickTop="1">
      <c r="A20" s="180" t="inlineStr">
        <is>
          <t>初  步</t>
        </is>
      </c>
      <c r="B20" s="881">
        <f>CONCATENATE("一、經本分局依",輸入!$T$16,"之毒品原物二合一測試劑初步檢驗結果：")</f>
        <v/>
      </c>
      <c r="C20" s="882" t="n"/>
      <c r="D20" s="883" t="n"/>
    </row>
    <row r="21" ht="27.75" customHeight="1" s="683">
      <c r="A21" s="181" t="n"/>
      <c r="B21" s="867">
        <f>IF(輸入!$H$7=下拉用!$F$2," V 呈嗎啡、海洛因反應","□ 呈嗎啡、海洛因反應")</f>
        <v/>
      </c>
      <c r="C21" s="637" t="n"/>
      <c r="D21" s="868" t="n"/>
    </row>
    <row r="22" ht="27.75" customHeight="1" s="683">
      <c r="A22" s="180" t="inlineStr">
        <is>
          <t>鑑  驗</t>
        </is>
      </c>
      <c r="B22" s="867">
        <f>IF(輸入!$H$7=下拉用!$F$3," V 呈安非他命反應","□ 呈安非他命反應")</f>
        <v/>
      </c>
      <c r="C22" s="637" t="n"/>
      <c r="D22" s="868" t="n"/>
    </row>
    <row r="23" ht="27.75" customHeight="1" s="683">
      <c r="A23" s="181" t="n"/>
      <c r="B23" s="867">
        <f>IF(輸入!$H$7=下拉用!$F$4," V 呈愷他命反應","□ 呈愷他命反應")</f>
        <v/>
      </c>
      <c r="C23" s="637" t="n"/>
      <c r="D23" s="868" t="n"/>
    </row>
    <row r="24" ht="27.75" customHeight="1" s="683">
      <c r="A24" s="180" t="inlineStr">
        <is>
          <t>結  果</t>
        </is>
      </c>
      <c r="B24" s="867">
        <f>IF(輸入!$H$7=下拉用!$F$4,"V 呈一粒眠反應","□ 呈一粒眠反應")</f>
        <v/>
      </c>
      <c r="C24" s="637" t="n"/>
      <c r="D24" s="868" t="n"/>
    </row>
    <row r="25" ht="3" customHeight="1" s="683">
      <c r="A25" s="179" t="n"/>
      <c r="B25" s="887" t="n"/>
      <c r="C25" s="637" t="n"/>
      <c r="D25" s="868" t="n"/>
    </row>
    <row r="26" ht="21.75" customHeight="1" s="683">
      <c r="A26" s="179" t="n"/>
      <c r="B26" s="885" t="inlineStr">
        <is>
          <t>二、鑑驗測試應在涉嫌人面前為之。</t>
        </is>
      </c>
      <c r="C26" s="637" t="n"/>
      <c r="D26" s="868" t="n"/>
    </row>
    <row r="27" ht="30.75" customHeight="1" s="683" thickBot="1">
      <c r="A27" s="178" t="n"/>
      <c r="B27" s="890" t="inlineStr">
        <is>
          <t xml:space="preserve">　　　　　　　　　　　　　　涉嫌人簽章：</t>
        </is>
      </c>
      <c r="C27" s="875" t="n"/>
      <c r="D27" s="876" t="n"/>
    </row>
    <row r="28" ht="17.25" customHeight="1" s="683" thickTop="1"/>
  </sheetData>
  <mergeCells count="28">
    <mergeCell ref="B10:B14"/>
    <mergeCell ref="B23:D23"/>
    <mergeCell ref="A3:A9"/>
    <mergeCell ref="B17:D17"/>
    <mergeCell ref="C10:C11"/>
    <mergeCell ref="A16:A19"/>
    <mergeCell ref="B19:D19"/>
    <mergeCell ref="C3:C5"/>
    <mergeCell ref="A10:A14"/>
    <mergeCell ref="C12:C15"/>
    <mergeCell ref="D12:D13"/>
    <mergeCell ref="B24:D24"/>
    <mergeCell ref="B20:D20"/>
    <mergeCell ref="A1:D1"/>
    <mergeCell ref="B26:D26"/>
    <mergeCell ref="D8:D9"/>
    <mergeCell ref="B25:D25"/>
    <mergeCell ref="D14:D15"/>
    <mergeCell ref="B16:D16"/>
    <mergeCell ref="D10:D11"/>
    <mergeCell ref="B22:D22"/>
    <mergeCell ref="B27:D27"/>
    <mergeCell ref="B18:D18"/>
    <mergeCell ref="B21:D21"/>
    <mergeCell ref="A2:D2"/>
    <mergeCell ref="D3:D5"/>
    <mergeCell ref="D6:D7"/>
    <mergeCell ref="C6:C9"/>
  </mergeCells>
  <pageMargins left="0.40625" right="0.3020833333333333" top="0.75" bottom="0.75" header="0.3" footer="0.3"/>
  <pageSetup orientation="portrait" paperSize="9"/>
</worksheet>
</file>

<file path=xl/worksheets/sheet25.xml><?xml version="1.0" encoding="utf-8"?>
<worksheet xmlns="http://schemas.openxmlformats.org/spreadsheetml/2006/main">
  <sheetPr codeName="工作表29">
    <tabColor theme="9" tint="-0.249977111117893"/>
    <outlinePr summaryBelow="1" summaryRight="1"/>
    <pageSetUpPr/>
  </sheetPr>
  <dimension ref="A1:AS37"/>
  <sheetViews>
    <sheetView showGridLines="0" showRuler="0" view="pageLayout" topLeftCell="A20" zoomScaleNormal="85" workbookViewId="0">
      <selection activeCell="D11" sqref="D11:J11"/>
    </sheetView>
  </sheetViews>
  <sheetFormatPr baseColWidth="8" defaultColWidth="9" defaultRowHeight="16.5"/>
  <cols>
    <col width="15.75" customWidth="1" style="593" min="1" max="1"/>
    <col width="4.5" customWidth="1" style="593" min="2" max="2"/>
    <col width="0.375" customWidth="1" style="593" min="3" max="3"/>
    <col width="0.5" customWidth="1" style="593" min="4" max="4"/>
    <col width="1.75" customWidth="1" style="593" min="5" max="5"/>
    <col width="1.25" customWidth="1" style="593" min="6" max="6"/>
    <col width="2.625" customWidth="1" style="593" min="7" max="7"/>
    <col width="3.375" customWidth="1" style="593" min="8" max="8"/>
    <col width="1.75" customWidth="1" style="593" min="9" max="9"/>
    <col width="12.25" customWidth="1" style="593" min="10" max="10"/>
    <col width="1.125" customWidth="1" style="593" min="11" max="11"/>
    <col width="1.625" customWidth="1" style="593" min="12" max="12"/>
    <col width="0.875" customWidth="1" style="593" min="13" max="13"/>
    <col width="0.5" customWidth="1" style="593" min="14" max="14"/>
    <col width="1.375" customWidth="1" style="593" min="15" max="15"/>
    <col width="1.125" customWidth="1" style="593" min="16" max="16"/>
    <col width="1.25" customWidth="1" style="593" min="17" max="17"/>
    <col width="2.125" customWidth="1" style="593" min="18" max="18"/>
    <col width="2.75" customWidth="1" style="593" min="19" max="19"/>
    <col width="3.5" customWidth="1" style="593" min="20" max="20"/>
    <col width="1.5" customWidth="1" style="593" min="21" max="21"/>
    <col width="0.875" customWidth="1" style="593" min="22" max="23"/>
    <col width="0.75" customWidth="1" style="593" min="24" max="24"/>
    <col width="1.625" customWidth="1" style="593" min="25" max="26"/>
    <col width="2.5" customWidth="1" style="593" min="27" max="27"/>
    <col width="2" customWidth="1" style="593" min="28" max="29"/>
    <col width="1.875" customWidth="1" style="593" min="30" max="30"/>
    <col width="1.625" customWidth="1" style="593" min="31" max="32"/>
    <col width="2.5" customWidth="1" style="593" min="33" max="33"/>
    <col width="3" customWidth="1" style="593" min="34" max="34"/>
    <col width="6.25" customWidth="1" style="593" min="35" max="35"/>
    <col width="9" customWidth="1" style="593" min="36" max="37"/>
    <col width="9" customWidth="1" style="593" min="38" max="16384"/>
  </cols>
  <sheetData>
    <row r="1" ht="25.5" customHeight="1" s="683">
      <c r="A1" s="856" t="inlineStr">
        <is>
          <t>刑事警察局委託辦理濫用藥物尿液檢驗</t>
        </is>
      </c>
    </row>
    <row r="2" ht="36.75" customHeight="1" s="683">
      <c r="A2" s="897" t="inlineStr">
        <is>
          <t>檢體監管紀錄表</t>
        </is>
      </c>
    </row>
    <row r="3" hidden="1" ht="2.25" customHeight="1" s="683"/>
    <row r="4" ht="1.5" customHeight="1" s="683">
      <c r="A4" s="49" t="n"/>
      <c r="B4" s="49" t="n"/>
      <c r="C4" s="49" t="n"/>
      <c r="D4" s="49" t="n"/>
      <c r="E4" s="49" t="n"/>
      <c r="F4" s="49" t="n"/>
      <c r="G4" s="49" t="n"/>
      <c r="H4" s="49" t="n"/>
      <c r="I4" s="49" t="n"/>
      <c r="J4" s="49" t="n"/>
      <c r="K4" s="49" t="n"/>
      <c r="L4" s="49" t="n"/>
      <c r="M4" s="49" t="n"/>
      <c r="N4" s="49" t="n"/>
      <c r="O4" s="49" t="n"/>
      <c r="P4" s="49" t="n"/>
      <c r="Q4" s="49" t="n"/>
      <c r="R4" s="49" t="n"/>
      <c r="S4" s="49" t="n"/>
      <c r="T4" s="49" t="n"/>
      <c r="U4" s="49" t="n"/>
      <c r="V4" s="49" t="n"/>
      <c r="W4" s="49" t="n"/>
      <c r="X4" s="49" t="n"/>
      <c r="Y4" s="49" t="n"/>
      <c r="Z4" s="49" t="n"/>
      <c r="AA4" s="49" t="n"/>
      <c r="AB4" s="49" t="n"/>
      <c r="AC4" s="49" t="n"/>
      <c r="AD4" s="49" t="n"/>
      <c r="AE4" s="49" t="n"/>
      <c r="AF4" s="49" t="n"/>
      <c r="AG4" s="49" t="n"/>
      <c r="AH4" s="49" t="n"/>
      <c r="AI4" s="49" t="n"/>
    </row>
    <row r="5" ht="45.2" customFormat="1" customHeight="1" s="50">
      <c r="A5" s="196" t="inlineStr">
        <is>
          <t>尿液檢體編號:</t>
        </is>
      </c>
      <c r="AI5" s="259" t="n"/>
      <c r="AJ5" s="593" t="n"/>
      <c r="AK5" s="593" t="n"/>
      <c r="AL5" s="593" t="n"/>
      <c r="AM5" s="593" t="n"/>
      <c r="AN5" s="593" t="n"/>
      <c r="AO5" s="593" t="n"/>
      <c r="AP5" s="593" t="n"/>
      <c r="AQ5" s="593" t="n"/>
      <c r="AR5" s="593" t="n"/>
      <c r="AS5" s="593" t="n"/>
    </row>
    <row r="6" hidden="1" ht="9.75" customHeight="1" s="683">
      <c r="A6" s="899" t="n"/>
      <c r="AI6" s="89" t="n"/>
    </row>
    <row r="7" ht="17.1" customFormat="1" customHeight="1" s="257">
      <c r="A7" s="294" t="inlineStr">
        <is>
          <t>如有「出矯治機構應受尿液採驗人處理系統」編號請補註記於後。</t>
        </is>
      </c>
      <c r="B7" s="295" t="n"/>
      <c r="C7" s="295" t="n"/>
      <c r="D7" s="295" t="n"/>
      <c r="E7" s="295" t="n"/>
      <c r="F7" s="295" t="n"/>
      <c r="G7" s="295" t="n"/>
      <c r="H7" s="295" t="n"/>
      <c r="I7" s="295" t="n"/>
      <c r="J7" s="295" t="n"/>
      <c r="AI7" s="261" t="n"/>
    </row>
    <row r="8" hidden="1" ht="3" customHeight="1" s="683">
      <c r="A8" s="264" t="n"/>
      <c r="B8" s="265" t="n"/>
      <c r="C8" s="265" t="n"/>
      <c r="AI8" s="89" t="n"/>
    </row>
    <row r="9" ht="25.5" customHeight="1" s="683">
      <c r="A9" s="268" t="inlineStr">
        <is>
          <t>受採尿者姓名</t>
        </is>
      </c>
      <c r="B9" s="269" t="n"/>
      <c r="C9" s="269" t="n"/>
      <c r="D9" s="1336">
        <f>word用!$H$2</f>
        <v/>
      </c>
      <c r="E9" s="902" t="n"/>
      <c r="F9" s="902" t="n"/>
      <c r="G9" s="902" t="n"/>
      <c r="H9" s="902" t="n"/>
      <c r="I9" s="902" t="n"/>
      <c r="J9" s="903" t="n"/>
      <c r="K9" s="304" t="inlineStr">
        <is>
          <t>性別</t>
        </is>
      </c>
      <c r="L9" s="305" t="n"/>
      <c r="M9" s="305" t="n"/>
      <c r="N9" s="305" t="n"/>
      <c r="O9" s="305" t="n"/>
      <c r="P9" s="305" t="n"/>
      <c r="Q9" s="305" t="n"/>
      <c r="R9" s="305" t="n"/>
      <c r="S9" s="285" t="n"/>
      <c r="T9" s="285" t="n"/>
      <c r="U9" s="894">
        <f>IF(word用!$R$2=下拉用!$E$2,"■男 □女","□男 ■女")</f>
        <v/>
      </c>
      <c r="V9" s="895" t="n"/>
      <c r="W9" s="895" t="n"/>
      <c r="X9" s="895" t="n"/>
      <c r="Y9" s="895" t="n"/>
      <c r="Z9" s="895" t="n"/>
      <c r="AA9" s="895" t="n"/>
      <c r="AB9" s="895" t="n"/>
      <c r="AC9" s="895" t="n"/>
      <c r="AD9" s="895" t="n"/>
      <c r="AE9" s="895" t="n"/>
      <c r="AF9" s="895" t="n"/>
      <c r="AG9" s="895" t="n"/>
      <c r="AH9" s="895" t="n"/>
      <c r="AI9" s="896" t="n"/>
    </row>
    <row r="10" hidden="1" ht="3.75" customHeight="1" s="683">
      <c r="A10" s="264" t="n"/>
      <c r="B10" s="265" t="n"/>
      <c r="C10" s="265" t="n"/>
      <c r="D10" s="273" t="n"/>
      <c r="E10" s="265" t="n"/>
      <c r="F10" s="265" t="n"/>
      <c r="G10" s="270" t="n"/>
      <c r="H10" s="270" t="n"/>
      <c r="I10" s="270" t="n"/>
      <c r="J10" s="272" t="n"/>
      <c r="K10" s="270" t="n"/>
      <c r="L10" s="270" t="n"/>
      <c r="M10" s="274" t="n"/>
      <c r="N10" s="271" t="n"/>
      <c r="O10" s="271" t="n"/>
      <c r="P10" s="271" t="n"/>
      <c r="Q10" s="271" t="n"/>
      <c r="R10" s="271" t="n"/>
      <c r="S10" s="271" t="n"/>
      <c r="T10" s="271" t="n"/>
      <c r="U10" s="288" t="n"/>
      <c r="V10" s="271" t="n"/>
      <c r="W10" s="271" t="n"/>
      <c r="X10" s="271" t="n"/>
      <c r="Y10" s="271" t="n"/>
      <c r="Z10" s="271" t="n"/>
      <c r="AA10" s="271" t="n"/>
      <c r="AB10" s="271" t="n"/>
      <c r="AC10" s="271" t="n"/>
      <c r="AD10" s="271" t="n"/>
      <c r="AE10" s="271" t="n"/>
      <c r="AF10" s="271" t="n"/>
      <c r="AG10" s="271" t="n"/>
      <c r="AH10" s="271" t="n"/>
      <c r="AI10" s="286" t="n"/>
    </row>
    <row r="11" ht="25.5" customHeight="1" s="683">
      <c r="A11" s="268" t="inlineStr">
        <is>
          <t>出生年月日</t>
        </is>
      </c>
      <c r="B11" s="269" t="n"/>
      <c r="C11" s="269" t="n"/>
      <c r="D11" s="906">
        <f>CONCATENATE(LEFT(word用!$L$2,2),"年",MID(word用!$L$2,4,2),"月",RIGHT(word用!$L$2,2),"日")</f>
        <v/>
      </c>
      <c r="J11" s="907" t="n"/>
      <c r="K11" s="279" t="inlineStr">
        <is>
          <t>身分證字號</t>
        </is>
      </c>
      <c r="L11" s="280" t="n"/>
      <c r="M11" s="281" t="n"/>
      <c r="N11" s="285" t="n"/>
      <c r="O11" s="285" t="n"/>
      <c r="P11" s="285" t="n"/>
      <c r="Q11" s="285" t="n"/>
      <c r="R11" s="285" t="n"/>
      <c r="S11" s="285" t="n"/>
      <c r="T11" s="285" t="n"/>
      <c r="U11" s="900">
        <f>UPPER(word用!$I$2)</f>
        <v/>
      </c>
      <c r="V11" s="895" t="n"/>
      <c r="W11" s="895" t="n"/>
      <c r="X11" s="895" t="n"/>
      <c r="Y11" s="895" t="n"/>
      <c r="Z11" s="895" t="n"/>
      <c r="AA11" s="895" t="n"/>
      <c r="AB11" s="895" t="n"/>
      <c r="AC11" s="895" t="n"/>
      <c r="AD11" s="895" t="n"/>
      <c r="AE11" s="895" t="n"/>
      <c r="AF11" s="895" t="n"/>
      <c r="AG11" s="895" t="n"/>
      <c r="AH11" s="895" t="n"/>
      <c r="AI11" s="896" t="n"/>
    </row>
    <row r="12" hidden="1" ht="0.75" customHeight="1" s="683">
      <c r="A12" s="264" t="n"/>
      <c r="B12" s="265" t="n"/>
      <c r="C12" s="265" t="n"/>
      <c r="D12" s="303" t="n"/>
      <c r="I12" s="280" t="n"/>
      <c r="J12" s="278" t="n"/>
      <c r="K12" s="282" t="n"/>
      <c r="L12" s="282" t="n"/>
      <c r="M12" s="283" t="n"/>
      <c r="N12" s="282" t="n"/>
      <c r="O12" s="282" t="n"/>
      <c r="P12" s="282" t="n"/>
      <c r="Q12" s="282" t="n"/>
      <c r="R12" s="282" t="n"/>
      <c r="S12" s="282" t="n"/>
      <c r="T12" s="282" t="n"/>
      <c r="U12" s="271" t="n"/>
      <c r="V12" s="271" t="n"/>
      <c r="W12" s="271" t="n"/>
      <c r="X12" s="271" t="n"/>
      <c r="Y12" s="271" t="n"/>
      <c r="Z12" s="271" t="n"/>
      <c r="AA12" s="271" t="n"/>
      <c r="AB12" s="271" t="n"/>
      <c r="AC12" s="271" t="n"/>
      <c r="AD12" s="286" t="n"/>
      <c r="AE12" s="271" t="n"/>
      <c r="AF12" s="271" t="n"/>
      <c r="AG12" s="271" t="n"/>
      <c r="AH12" s="271" t="n"/>
      <c r="AI12" s="286" t="n"/>
    </row>
    <row r="13" ht="45.2" customHeight="1" s="683">
      <c r="A13" s="266" t="inlineStr">
        <is>
          <t>採尿單位</t>
        </is>
      </c>
      <c r="B13" s="267" t="n"/>
      <c r="C13" s="267" t="n"/>
      <c r="D13" s="904">
        <f>CONCATENATE(輸入!$S$18,輸入!$T$18,CHAR(10),輸入!$S$19,輸入!$T$19,輸入!$S$20,輸入!$T$20)</f>
        <v/>
      </c>
      <c r="E13" s="902" t="n"/>
      <c r="F13" s="902" t="n"/>
      <c r="G13" s="902" t="n"/>
      <c r="H13" s="902" t="n"/>
      <c r="I13" s="902" t="n"/>
      <c r="J13" s="903" t="n"/>
      <c r="K13" s="289" t="inlineStr">
        <is>
          <t>採尿時間</t>
        </is>
      </c>
      <c r="L13" s="290" t="n"/>
      <c r="M13" s="291" t="n"/>
      <c r="N13" s="291" t="n"/>
      <c r="O13" s="291" t="n"/>
      <c r="P13" s="291" t="n"/>
      <c r="Q13" s="291" t="n"/>
      <c r="R13" s="291" t="n"/>
      <c r="S13" s="291" t="n"/>
      <c r="T13" s="291" t="n"/>
      <c r="U13" s="909" t="inlineStr">
        <is>
          <t xml:space="preserve">   年   月   日
        時   分</t>
        </is>
      </c>
      <c r="V13" s="910" t="n"/>
      <c r="W13" s="910" t="n"/>
      <c r="X13" s="910" t="n"/>
      <c r="Y13" s="910" t="n"/>
      <c r="Z13" s="910" t="n"/>
      <c r="AA13" s="910" t="n"/>
      <c r="AB13" s="910" t="n"/>
      <c r="AC13" s="910" t="n"/>
      <c r="AD13" s="910" t="n"/>
      <c r="AE13" s="910" t="n"/>
      <c r="AF13" s="910" t="n"/>
      <c r="AG13" s="910" t="n"/>
      <c r="AH13" s="910" t="n"/>
      <c r="AI13" s="911" t="n"/>
    </row>
    <row r="14" ht="1.5" customHeight="1" s="683">
      <c r="A14" s="899" t="n"/>
      <c r="AI14" s="89" t="n"/>
    </row>
    <row r="15" ht="25.5" customHeight="1" s="683">
      <c r="A15" s="256" t="inlineStr">
        <is>
          <t>採尿地址：</t>
        </is>
      </c>
      <c r="B15" s="898">
        <f>輸入!$S$23</f>
        <v/>
      </c>
      <c r="C15" s="585" t="n"/>
      <c r="D15" s="585" t="n"/>
      <c r="E15" s="585" t="n"/>
      <c r="F15" s="585" t="n"/>
      <c r="G15" s="585" t="n"/>
      <c r="H15" s="585" t="n"/>
      <c r="I15" s="585" t="n"/>
      <c r="J15" s="585" t="n"/>
      <c r="K15" s="585" t="n"/>
      <c r="L15" s="585" t="n"/>
      <c r="M15" s="585" t="n"/>
      <c r="N15" s="585" t="n"/>
      <c r="O15" s="585" t="n"/>
      <c r="P15" s="585" t="n"/>
      <c r="Q15" s="585" t="n"/>
      <c r="R15" s="585" t="n"/>
      <c r="S15" s="585" t="n"/>
      <c r="T15" s="585" t="n"/>
      <c r="U15" s="585" t="n"/>
      <c r="V15" s="585" t="n"/>
      <c r="W15" s="585" t="n"/>
      <c r="X15" s="585" t="n"/>
      <c r="Y15" s="585" t="n"/>
      <c r="Z15" s="585" t="n"/>
      <c r="AA15" s="585" t="n"/>
      <c r="AB15" s="585" t="n"/>
      <c r="AC15" s="585" t="n"/>
      <c r="AD15" s="585" t="n"/>
      <c r="AE15" s="585" t="n"/>
      <c r="AF15" s="585" t="n"/>
      <c r="AG15" s="585" t="n"/>
      <c r="AH15" s="585" t="n"/>
      <c r="AI15" s="586" t="n"/>
    </row>
    <row r="16" ht="2.25" customHeight="1" s="683">
      <c r="A16" s="258" t="n"/>
      <c r="B16" s="50" t="n"/>
      <c r="C16" s="50" t="n"/>
      <c r="D16" s="50" t="n"/>
      <c r="E16" s="50" t="n"/>
      <c r="F16" s="50" t="n"/>
      <c r="G16" s="50" t="n"/>
      <c r="H16" s="50" t="n"/>
      <c r="I16" s="50" t="n"/>
      <c r="J16" s="50" t="n"/>
      <c r="K16" s="259" t="n"/>
      <c r="L16" s="50" t="n"/>
      <c r="M16" s="50" t="n"/>
      <c r="N16" s="50" t="n"/>
      <c r="O16" s="50" t="n"/>
      <c r="P16" s="50" t="n"/>
      <c r="Q16" s="50" t="n"/>
      <c r="R16" s="50" t="n"/>
      <c r="S16" s="50" t="n"/>
      <c r="T16" s="50" t="n"/>
      <c r="U16" s="50" t="n"/>
      <c r="V16" s="50" t="n"/>
      <c r="W16" s="50" t="n"/>
      <c r="X16" s="50" t="n"/>
      <c r="Y16" s="50" t="n"/>
      <c r="Z16" s="50" t="n"/>
      <c r="AA16" s="50" t="n"/>
      <c r="AI16" s="89" t="n"/>
    </row>
    <row r="17" ht="39.6" customHeight="1" s="683">
      <c r="A17" s="300" t="inlineStr">
        <is>
          <t>採尿人員（簽章）</t>
        </is>
      </c>
      <c r="K17" s="287" t="n"/>
      <c r="L17" s="301" t="inlineStr">
        <is>
          <t>簽名與捺印捺印</t>
        </is>
      </c>
      <c r="AI17" s="89" t="n"/>
    </row>
    <row r="18" hidden="1" ht="20.85" customHeight="1" s="683">
      <c r="A18" s="899" t="n"/>
      <c r="K18" s="89" t="n"/>
      <c r="AI18" s="89" t="n"/>
    </row>
    <row r="19" ht="17.1" customHeight="1" s="683">
      <c r="A19" s="302" t="inlineStr">
        <is>
          <t>採尿人員性別應與受採尿者相同，且與封緘上簽章者符合。</t>
        </is>
      </c>
      <c r="B19" s="49" t="n"/>
      <c r="C19" s="49" t="n"/>
      <c r="D19" s="49" t="n"/>
      <c r="E19" s="49" t="n"/>
      <c r="F19" s="49" t="n"/>
      <c r="G19" s="49" t="n"/>
      <c r="H19" s="49" t="n"/>
      <c r="I19" s="49" t="n"/>
      <c r="J19" s="49" t="n"/>
      <c r="K19" s="91" t="n"/>
      <c r="AI19" s="89" t="n"/>
    </row>
    <row r="20" ht="36.75" customFormat="1" customHeight="1" s="231">
      <c r="A20" s="296" t="inlineStr">
        <is>
          <t>會同人員（簽章）</t>
        </is>
      </c>
      <c r="B20" s="297" t="n"/>
      <c r="C20" s="297" t="n"/>
      <c r="D20" s="297" t="n"/>
      <c r="E20" s="297" t="n"/>
      <c r="F20" s="297" t="n"/>
      <c r="G20" s="297" t="n"/>
      <c r="H20" s="297" t="n"/>
      <c r="I20" s="297" t="n"/>
      <c r="J20" s="297" t="n"/>
      <c r="K20" s="298" t="n"/>
      <c r="AI20" s="299" t="n"/>
    </row>
    <row r="21" hidden="1" ht="24.95" customHeight="1" s="683">
      <c r="A21" s="260" t="n"/>
      <c r="K21" s="89" t="n"/>
      <c r="AI21" s="89" t="n"/>
    </row>
    <row r="22" ht="11.25" customHeight="1" s="683">
      <c r="A22" s="899" t="n"/>
      <c r="K22" s="89" t="n"/>
      <c r="L22" s="908" t="inlineStr">
        <is>
          <t>左大拇指優先：左大拇指無法按乃捺指紋時，應依採驗尿液實施辦法第</t>
        </is>
      </c>
      <c r="AI22" s="609" t="n"/>
    </row>
    <row r="23" ht="11.25" customHeight="1" s="683" thickBot="1">
      <c r="A23" s="899" t="n"/>
      <c r="K23" s="89" t="n"/>
      <c r="L23" s="292" t="inlineStr">
        <is>
          <t>１３條第２項辦理。</t>
        </is>
      </c>
      <c r="M23" s="293" t="n"/>
      <c r="N23" s="293" t="n"/>
      <c r="O23" s="293" t="n"/>
      <c r="P23" s="293" t="n"/>
      <c r="Q23" s="293" t="n"/>
      <c r="R23" s="293" t="n"/>
      <c r="S23" s="293" t="n"/>
      <c r="T23" s="293" t="n"/>
      <c r="U23" s="257" t="n"/>
      <c r="V23" s="257" t="n"/>
      <c r="W23" s="257" t="n"/>
      <c r="X23" s="257" t="n"/>
      <c r="Y23" s="257" t="n"/>
      <c r="Z23" s="257" t="n"/>
      <c r="AA23" s="257" t="n"/>
      <c r="AB23" s="257" t="n"/>
      <c r="AC23" s="257" t="n"/>
      <c r="AD23" s="257" t="n"/>
      <c r="AI23" s="89" t="n"/>
    </row>
    <row r="24" ht="22.5" customHeight="1" s="683">
      <c r="A24" s="277" t="inlineStr">
        <is>
          <t>檢體狀態確認：</t>
        </is>
      </c>
      <c r="B24" s="276" t="n"/>
      <c r="C24" s="276" t="n"/>
      <c r="D24" s="276" t="n"/>
      <c r="E24" s="276" t="n"/>
      <c r="F24" s="276" t="n"/>
      <c r="G24" s="276" t="n"/>
      <c r="H24" s="276" t="n"/>
      <c r="I24" s="276" t="n"/>
      <c r="J24" s="276" t="n"/>
      <c r="K24" s="276" t="n"/>
      <c r="L24" s="276" t="n"/>
      <c r="M24" s="276" t="n"/>
      <c r="N24" s="276" t="n"/>
      <c r="O24" s="276" t="n"/>
      <c r="P24" s="276" t="n"/>
      <c r="Q24" s="276" t="n"/>
      <c r="R24" s="276" t="n"/>
      <c r="S24" s="276" t="n"/>
      <c r="T24" s="276" t="n"/>
      <c r="U24" s="276" t="n"/>
      <c r="V24" s="276" t="n"/>
      <c r="W24" s="276" t="n"/>
      <c r="X24" s="276" t="n"/>
      <c r="Y24" s="276" t="n"/>
      <c r="Z24" s="276" t="n"/>
      <c r="AA24" s="276" t="n"/>
      <c r="AB24" s="276" t="n"/>
      <c r="AC24" s="276" t="n"/>
      <c r="AD24" s="276" t="n"/>
      <c r="AE24" s="276" t="n"/>
      <c r="AF24" s="276" t="n"/>
      <c r="AG24" s="276" t="n"/>
      <c r="AH24" s="276" t="n"/>
      <c r="AI24" s="88" t="n"/>
    </row>
    <row r="25" ht="16.7" customHeight="1" s="683">
      <c r="A25" s="893" t="inlineStr">
        <is>
          <t xml:space="preserve">１每瓶檢體量是否均達30毫升以上：□是□否                 </t>
        </is>
      </c>
      <c r="AI25" s="89" t="n"/>
    </row>
    <row r="26" ht="16.7" customHeight="1" s="683">
      <c r="A26" s="893" t="inlineStr">
        <is>
          <t xml:space="preserve">２檢體封緘是否完整：□是□否                       </t>
        </is>
      </c>
      <c r="AI26" s="89" t="n"/>
    </row>
    <row r="27" ht="16.7" customHeight="1" s="683">
      <c r="A27" s="893" t="inlineStr">
        <is>
          <t xml:space="preserve">３檢體溫度是否介於攝氏3 2度至3 8度間：□是□否                              </t>
        </is>
      </c>
      <c r="AI27" s="89" t="n"/>
    </row>
    <row r="28" ht="16.7" customHeight="1" s="683">
      <c r="A28" s="893" t="inlineStr">
        <is>
          <t xml:space="preserve">４檢體外觀（顏色、懸浮物等）是否正常：□是□否                              </t>
        </is>
      </c>
      <c r="AI28" s="89" t="n"/>
    </row>
    <row r="29" ht="16.7" customHeight="1" s="683">
      <c r="A29" s="899" t="inlineStr">
        <is>
          <t>５檢體封緘是否以油性筆、印泥簽名捺印：□是□否_________________</t>
        </is>
      </c>
      <c r="AI29" s="89" t="n"/>
    </row>
    <row r="30" ht="16.7" customHeight="1" s="683">
      <c r="A30" s="893" t="inlineStr">
        <is>
          <t xml:space="preserve">６其他重要跡象：□無□有                         </t>
        </is>
      </c>
      <c r="AI30" s="89" t="n"/>
    </row>
    <row r="31" ht="2.25" customHeight="1" s="683" thickBot="1">
      <c r="A31" s="899" t="n"/>
      <c r="O31" s="284" t="n"/>
      <c r="P31" s="284" t="n"/>
      <c r="Q31" s="284" t="n"/>
      <c r="R31" s="284" t="n"/>
      <c r="S31" s="284" t="n"/>
      <c r="T31" s="284" t="n"/>
      <c r="U31" s="284" t="n"/>
      <c r="V31" s="284" t="n"/>
      <c r="W31" s="284" t="n"/>
      <c r="X31" s="284" t="n"/>
      <c r="Y31" s="284" t="n"/>
      <c r="Z31" s="284" t="n"/>
      <c r="AA31" s="284" t="n"/>
      <c r="AB31" s="284" t="n"/>
      <c r="AC31" s="284" t="n"/>
      <c r="AI31" s="89" t="n"/>
    </row>
    <row r="32" ht="22.5" customHeight="1" s="683">
      <c r="A32" s="275" t="inlineStr">
        <is>
          <t>檢驗項目：</t>
        </is>
      </c>
      <c r="B32" s="276" t="n"/>
      <c r="C32" s="276" t="n"/>
      <c r="D32" s="276" t="n"/>
      <c r="E32" s="276" t="n"/>
      <c r="F32" s="276" t="n"/>
      <c r="G32" s="276" t="n"/>
      <c r="H32" s="276" t="n"/>
      <c r="I32" s="276" t="n"/>
      <c r="J32" s="276" t="n"/>
      <c r="K32" s="276" t="n"/>
      <c r="L32" s="276" t="n"/>
      <c r="M32" s="276" t="n"/>
      <c r="N32" s="276" t="n"/>
      <c r="AD32" s="276" t="n"/>
      <c r="AE32" s="276" t="n"/>
      <c r="AF32" s="276" t="n"/>
      <c r="AG32" s="276" t="n"/>
      <c r="AH32" s="276" t="n"/>
      <c r="AI32" s="88" t="n"/>
    </row>
    <row r="33" ht="19.7" customHeight="1" s="683">
      <c r="A33" s="893">
        <f>IF(輸入!$H$7=下拉用!$F$2,"■鴉片類（含海洛因）","□鴉片類（含海洛因）")</f>
        <v/>
      </c>
      <c r="E33" s="155" t="n"/>
      <c r="I33" s="593">
        <f>IF(輸入!$H$7=下拉用!$F$3,"■安非他命類","□安非他命類")</f>
        <v/>
      </c>
      <c r="L33" s="453" t="n"/>
      <c r="V33" s="593" t="inlineStr">
        <is>
          <t>□搖頭丸</t>
        </is>
      </c>
      <c r="AI33" s="89" t="n"/>
    </row>
    <row r="34" ht="14.1" customHeight="1" s="683">
      <c r="A34" s="899" t="n"/>
      <c r="AI34" s="89" t="n"/>
    </row>
    <row r="35" ht="17.1" customHeight="1" s="683">
      <c r="A35" s="893" t="inlineStr">
        <is>
          <t>□大麻</t>
        </is>
      </c>
      <c r="H35" s="453" t="n"/>
      <c r="I35" s="453" t="n"/>
      <c r="J35" s="453">
        <f>IF(輸入!$H$7=下拉用!$F$4,"■愷他命","□愷他命")</f>
        <v/>
      </c>
      <c r="M35" s="453" t="n"/>
      <c r="Y35" s="593">
        <f>IF(輸入!$H$7=下拉用!$F$4,"■硝甲西泮（一粒眠）","□硝甲西泮（一粒眠）")</f>
        <v/>
      </c>
      <c r="AI35" s="89" t="n"/>
    </row>
    <row r="36" ht="11.25" customHeight="1" s="683">
      <c r="A36" s="899" t="n"/>
      <c r="AI36" s="89" t="n"/>
    </row>
    <row r="37" ht="17.1" customHeight="1" s="683">
      <c r="A37" s="262" t="inlineStr">
        <is>
          <t>□MMA</t>
        </is>
      </c>
      <c r="B37" s="49" t="n"/>
      <c r="C37" s="49" t="n"/>
      <c r="D37" s="49" t="n"/>
      <c r="E37" s="49" t="n"/>
      <c r="F37" s="49" t="n"/>
      <c r="G37" s="49" t="n"/>
      <c r="H37" s="263" t="n"/>
      <c r="I37" s="263" t="n"/>
      <c r="J37" s="263" t="inlineStr">
        <is>
          <t>□4-甲基甲基卡西酮（喵喵）</t>
        </is>
      </c>
      <c r="K37" s="49" t="n"/>
      <c r="L37" s="49" t="n"/>
      <c r="M37" s="263" t="n"/>
      <c r="N37" s="49" t="n"/>
      <c r="O37" s="49" t="n"/>
      <c r="P37" s="49" t="n"/>
      <c r="Q37" s="49" t="n"/>
      <c r="R37" s="49" t="n"/>
      <c r="S37" s="49" t="n"/>
      <c r="T37" s="49" t="n"/>
      <c r="U37" s="49" t="n"/>
      <c r="V37" s="49" t="n"/>
      <c r="W37" s="49" t="n"/>
      <c r="X37" s="49" t="n"/>
      <c r="Y37" s="49" t="inlineStr">
        <is>
          <t xml:space="preserve">□其他      </t>
        </is>
      </c>
      <c r="Z37" s="49" t="n"/>
      <c r="AA37" s="49" t="n"/>
      <c r="AB37" s="49" t="n"/>
      <c r="AC37" s="49" t="n"/>
      <c r="AD37" s="49" t="n"/>
      <c r="AE37" s="49" t="n"/>
      <c r="AF37" s="49" t="n"/>
      <c r="AG37" s="49" t="n"/>
      <c r="AH37" s="49" t="n"/>
      <c r="AI37" s="91" t="n"/>
    </row>
  </sheetData>
  <mergeCells count="13">
    <mergeCell ref="A27:X27"/>
    <mergeCell ref="U9:AI9"/>
    <mergeCell ref="A2:AI2"/>
    <mergeCell ref="B15:AI15"/>
    <mergeCell ref="A29:X29"/>
    <mergeCell ref="U11:AI11"/>
    <mergeCell ref="D9:J9"/>
    <mergeCell ref="A1:AI1"/>
    <mergeCell ref="A28:X28"/>
    <mergeCell ref="D13:J13"/>
    <mergeCell ref="D11:J11"/>
    <mergeCell ref="L22:AI22"/>
    <mergeCell ref="U13:AI13"/>
  </mergeCells>
  <pageMargins left="0.3543307086614174" right="0.7480314960629921" top="0.7480314960629921" bottom="0.7480314960629921" header="0.3149606299212598" footer="0.3149606299212598"/>
  <pageSetup orientation="portrait" paperSize="9"/>
</worksheet>
</file>

<file path=xl/worksheets/sheet26.xml><?xml version="1.0" encoding="utf-8"?>
<worksheet xmlns="http://schemas.openxmlformats.org/spreadsheetml/2006/main">
  <sheetPr codeName="工作表10">
    <tabColor theme="9" tint="-0.249977111117893"/>
    <outlinePr summaryBelow="1" summaryRight="1"/>
    <pageSetUpPr/>
  </sheetPr>
  <dimension ref="A1:W27"/>
  <sheetViews>
    <sheetView view="pageLayout" topLeftCell="A16" zoomScaleNormal="100" zoomScaleSheetLayoutView="80" workbookViewId="0">
      <selection activeCell="A18" sqref="A18:W18"/>
    </sheetView>
  </sheetViews>
  <sheetFormatPr baseColWidth="8" defaultRowHeight="16.5"/>
  <cols>
    <col width="0.625" customWidth="1" style="593" min="1" max="1"/>
    <col width="0.375" customWidth="1" style="593" min="2" max="2"/>
    <col width="0.5" customWidth="1" style="593" min="3" max="4"/>
    <col width="1" customWidth="1" style="593" min="5" max="5"/>
    <col width="3.25" customWidth="1" style="593" min="6" max="6"/>
    <col width="1.25" customWidth="1" style="593" min="7" max="8"/>
    <col width="4.125" customWidth="1" style="593" min="9" max="9"/>
    <col width="5" customWidth="1" style="593" min="10" max="10"/>
    <col width="2.875" customWidth="1" style="593" min="11" max="11"/>
    <col width="3.375" customWidth="1" style="593" min="12" max="12"/>
    <col width="4.625" customWidth="1" style="593" min="13" max="13"/>
    <col width="3.375" customWidth="1" style="593" min="14" max="14"/>
    <col width="2.875" customWidth="1" style="593" min="15" max="16"/>
    <col width="3.25" customWidth="1" style="593" min="17" max="17"/>
    <col width="2.375" customWidth="1" style="593" min="18" max="18"/>
    <col width="1.625" customWidth="1" style="593" min="19" max="19"/>
    <col width="3.375" customWidth="1" style="593" min="20" max="20"/>
    <col width="9" customWidth="1" style="593" min="21" max="21"/>
    <col width="7.125" customWidth="1" style="593" min="22" max="22"/>
    <col width="12.125" customWidth="1" style="593" min="23" max="23"/>
    <col width="9" customWidth="1" style="593" min="24" max="26"/>
    <col width="9" customWidth="1" style="593" min="27" max="16384"/>
  </cols>
  <sheetData>
    <row r="1" ht="30" customHeight="1" s="683">
      <c r="A1" s="235" t="n"/>
      <c r="B1" s="235" t="n"/>
      <c r="C1" s="235" t="n"/>
      <c r="D1" s="916" t="inlineStr">
        <is>
          <t>自願受採尿同意書</t>
        </is>
      </c>
    </row>
    <row r="2" ht="60.75" customHeight="1" s="683"/>
    <row r="3" ht="25.5" customHeight="1" s="683">
      <c r="A3" s="915">
        <f>CONCATENATE("本人  ",word用!$H$2,"  出於自願，同意 ",下拉用!$J$6," 接")</f>
        <v/>
      </c>
    </row>
    <row r="4" ht="17.1" customHeight="1" s="683"/>
    <row r="5" ht="24.95" customFormat="1" customHeight="1" s="915">
      <c r="A5" s="156" t="n"/>
      <c r="B5" s="156">
        <f>CONCATENATE("受",輸入!$S$18,輸入!$T$18,輸入!$S$19,輸入!$T$19,"人員")</f>
        <v/>
      </c>
      <c r="C5" s="156" t="n"/>
      <c r="D5" s="156" t="n"/>
      <c r="E5" s="156" t="n"/>
      <c r="F5" s="156" t="n"/>
      <c r="G5" s="156" t="n"/>
      <c r="H5" s="156" t="n"/>
      <c r="I5" s="156" t="n"/>
      <c r="J5" s="156" t="n"/>
      <c r="K5" s="156" t="n"/>
      <c r="L5" s="156" t="n"/>
      <c r="M5" s="156" t="n"/>
      <c r="N5" s="156" t="n"/>
      <c r="O5" s="156" t="n"/>
      <c r="P5" s="156" t="n"/>
      <c r="Q5" s="156" t="n"/>
      <c r="R5" s="156" t="n"/>
      <c r="S5" s="156" t="n"/>
      <c r="T5" s="156" t="n"/>
      <c r="U5" s="156" t="n"/>
      <c r="V5" s="156" t="n"/>
      <c r="W5" s="156" t="inlineStr">
        <is>
          <t xml:space="preserve">     等</t>
        </is>
      </c>
    </row>
    <row r="6" ht="17.1" customHeight="1" s="683"/>
    <row r="7" ht="25.5" customHeight="1" s="683">
      <c r="A7" s="156" t="inlineStr">
        <is>
          <t>採尿</t>
        </is>
      </c>
      <c r="B7" s="1166" t="n"/>
      <c r="C7" s="1166" t="n"/>
      <c r="D7" s="1166" t="n"/>
      <c r="E7" s="1166" t="n"/>
    </row>
    <row r="8" ht="17.1" customHeight="1" s="683"/>
    <row r="9" ht="25.5" customHeight="1" s="683">
      <c r="A9" s="156" t="inlineStr">
        <is>
          <t>特立此同意書。</t>
        </is>
      </c>
      <c r="B9" s="156" t="n"/>
      <c r="C9" s="156" t="n"/>
      <c r="D9" s="156" t="n"/>
      <c r="E9" s="156" t="n"/>
      <c r="F9" s="156" t="n"/>
      <c r="G9" s="156" t="n"/>
      <c r="H9" s="156" t="n"/>
    </row>
    <row r="10" ht="18.75" customHeight="1" s="683">
      <c r="A10" s="156" t="n"/>
      <c r="B10" s="156" t="n"/>
      <c r="C10" s="156" t="n"/>
      <c r="D10" s="156" t="n"/>
      <c r="E10" s="156" t="n"/>
      <c r="F10" s="156" t="n"/>
      <c r="G10" s="156" t="n"/>
      <c r="H10" s="156" t="n"/>
    </row>
    <row r="11" ht="19.5" customHeight="1" s="683">
      <c r="I11" s="912" t="inlineStr">
        <is>
          <t>受採尿人：</t>
        </is>
      </c>
    </row>
    <row r="12" ht="21" customHeight="1" s="683">
      <c r="I12" s="912" t="n"/>
      <c r="J12" s="912" t="n"/>
      <c r="K12" s="912" t="n"/>
      <c r="L12" s="913" t="n"/>
    </row>
    <row r="13" ht="19.5" customHeight="1" s="683">
      <c r="I13" s="913" t="inlineStr">
        <is>
          <t>住</t>
        </is>
      </c>
      <c r="J13" s="913" t="n"/>
      <c r="K13" s="913" t="inlineStr">
        <is>
          <t>所：</t>
        </is>
      </c>
    </row>
    <row r="14" ht="21" customHeight="1" s="683">
      <c r="I14" s="913" t="n"/>
      <c r="J14" s="913" t="n"/>
      <c r="K14" s="913" t="n"/>
      <c r="L14" s="913" t="n"/>
    </row>
    <row r="15" ht="19.5" customHeight="1" s="683">
      <c r="I15" s="913" t="inlineStr">
        <is>
          <t xml:space="preserve">電    </t>
        </is>
      </c>
      <c r="J15" s="913" t="n"/>
      <c r="K15" s="913" t="inlineStr">
        <is>
          <t>話：</t>
        </is>
      </c>
    </row>
    <row r="16" ht="25.5" customHeight="1" s="683">
      <c r="I16" s="913" t="n"/>
      <c r="J16" s="913" t="n"/>
      <c r="K16" s="913" t="n"/>
      <c r="L16" s="913" t="n"/>
    </row>
    <row r="17" ht="19.5" customFormat="1" customHeight="1" s="913">
      <c r="A17" s="912" t="inlineStr">
        <is>
          <t>中華民國</t>
        </is>
      </c>
      <c r="M17" s="912">
        <f>下拉用!$J$6</f>
        <v/>
      </c>
    </row>
    <row r="18" ht="26.25" customHeight="1" s="683">
      <c r="A18" s="914" t="inlineStr">
        <is>
          <t>※受採尿人得依其自由意志同意或不同意本次採尿，並得隨</t>
        </is>
      </c>
    </row>
    <row r="19" ht="21" customHeight="1" s="683">
      <c r="C19" s="232" t="n"/>
      <c r="F19" s="234" t="inlineStr">
        <is>
          <t>時撤回同意。</t>
        </is>
      </c>
      <c r="G19" s="233" t="n"/>
      <c r="H19" s="233" t="n"/>
      <c r="I19" s="233" t="n"/>
      <c r="J19" s="233" t="n"/>
      <c r="K19" s="233" t="n"/>
    </row>
    <row r="20" ht="30.75" customHeight="1" s="683"/>
    <row r="21" ht="19.5" customHeight="1" s="683">
      <c r="A21" s="593" t="inlineStr">
        <is>
          <t>註：</t>
        </is>
      </c>
    </row>
    <row r="22" ht="19.5" customHeight="1" s="683">
      <c r="A22" s="593" t="inlineStr">
        <is>
          <t xml:space="preserve">一、	</t>
        </is>
      </c>
      <c r="F22" s="913" t="n"/>
      <c r="G22" s="763" t="inlineStr">
        <is>
          <t>執行人員應嚴格遵守「應著制服或出示證件表明身分」，「經受</t>
        </is>
      </c>
    </row>
    <row r="23" ht="19.5" customHeight="1" s="683">
      <c r="G23" s="763" t="inlineStr">
        <is>
          <t>採尿人出於自願性同意」，並將「其同意之意旨記載於筆錄」等</t>
        </is>
      </c>
    </row>
    <row r="24" ht="19.5" customHeight="1" s="683">
      <c r="G24" s="913" t="inlineStr">
        <is>
          <t>法定程序。</t>
        </is>
      </c>
      <c r="H24" s="913" t="n"/>
      <c r="I24" s="913" t="n"/>
      <c r="J24" s="913" t="n"/>
      <c r="K24" s="913" t="n"/>
      <c r="L24" s="913" t="n"/>
      <c r="M24" s="913" t="n"/>
      <c r="N24" s="913" t="n"/>
      <c r="O24" s="913" t="n"/>
      <c r="P24" s="913" t="n"/>
      <c r="Q24" s="913" t="n"/>
      <c r="R24" s="913" t="n"/>
      <c r="S24" s="913" t="n"/>
      <c r="T24" s="913" t="n"/>
      <c r="U24" s="913" t="n"/>
      <c r="V24" s="913" t="n"/>
    </row>
    <row r="25" ht="19.5" customHeight="1" s="683">
      <c r="A25" s="593" t="inlineStr">
        <is>
          <t>二、</t>
        </is>
      </c>
      <c r="G25" s="912" t="inlineStr">
        <is>
          <t>所謂「經受採尿人出於自願性同意」係指受採尿人得依其自由</t>
        </is>
      </c>
    </row>
    <row r="26" ht="19.5" customHeight="1" s="683">
      <c r="G26" s="763" t="inlineStr">
        <is>
          <t>意志同意或不同意本次採尿，並得隨時撤回同意。</t>
        </is>
      </c>
    </row>
    <row r="27" ht="19.5" customHeight="1" s="683">
      <c r="A27" s="593" t="inlineStr">
        <is>
          <t>三、</t>
        </is>
      </c>
      <c r="G27" s="913" t="inlineStr">
        <is>
          <t>應於獲得受採尿人同意後始得開始執行採尿。</t>
        </is>
      </c>
      <c r="H27" s="763" t="n"/>
      <c r="I27" s="913" t="n"/>
      <c r="J27" s="913" t="n"/>
      <c r="K27" s="913" t="n"/>
      <c r="L27" s="913" t="n"/>
      <c r="M27" s="913" t="n"/>
      <c r="N27" s="913" t="n"/>
      <c r="O27" s="913" t="n"/>
      <c r="P27" s="913" t="n"/>
      <c r="Q27" s="913" t="n"/>
      <c r="R27" s="913" t="n"/>
      <c r="S27" s="913" t="n"/>
      <c r="T27" s="913" t="n"/>
      <c r="U27" s="913" t="n"/>
      <c r="V27" s="913" t="n"/>
    </row>
  </sheetData>
  <mergeCells count="10">
    <mergeCell ref="G23:W23"/>
    <mergeCell ref="G22:W22"/>
    <mergeCell ref="M17:W17"/>
    <mergeCell ref="A18:W18"/>
    <mergeCell ref="A17:J17"/>
    <mergeCell ref="A3:W3"/>
    <mergeCell ref="G26:V26"/>
    <mergeCell ref="D1:W1"/>
    <mergeCell ref="G25:W25"/>
    <mergeCell ref="I11:L11"/>
  </mergeCells>
  <printOptions horizontalCentered="1"/>
  <pageMargins left="0.984251968503937" right="0.984251968503937" top="1.220472440944882" bottom="1.181102362204725" header="0.5118110236220472" footer="0.5118110236220472"/>
  <pageSetup orientation="portrait" paperSize="9"/>
</worksheet>
</file>

<file path=xl/worksheets/sheet27.xml><?xml version="1.0" encoding="utf-8"?>
<worksheet xmlns="http://schemas.openxmlformats.org/spreadsheetml/2006/main">
  <sheetPr codeName="工作表41">
    <tabColor theme="9"/>
    <outlinePr summaryBelow="1" summaryRight="1"/>
    <pageSetUpPr/>
  </sheetPr>
  <dimension ref="A1:V7"/>
  <sheetViews>
    <sheetView view="pageLayout" topLeftCell="A3" zoomScale="85" zoomScaleNormal="100" zoomScalePageLayoutView="85" workbookViewId="0">
      <selection activeCell="A8" sqref="A8"/>
    </sheetView>
  </sheetViews>
  <sheetFormatPr baseColWidth="8" defaultColWidth="9" defaultRowHeight="16.5"/>
  <cols>
    <col width="6" customWidth="1" style="683" min="1" max="1"/>
    <col width="4.875" customWidth="1" style="683" min="2" max="3"/>
    <col width="7.875" customWidth="1" style="683" min="4" max="4"/>
    <col width="10.25" customWidth="1" style="683" min="5" max="5"/>
    <col width="10.875" customWidth="1" style="683" min="6" max="6"/>
    <col width="5.5" customWidth="1" style="683" min="7" max="7"/>
    <col width="14.25" customWidth="1" style="683" min="8" max="8"/>
    <col hidden="1" width="4.875" customWidth="1" style="683" min="9" max="9"/>
    <col hidden="1" width="7.5" customWidth="1" style="683" min="10" max="10"/>
    <col width="20.125" customWidth="1" style="683" min="11" max="11"/>
    <col width="6" customWidth="1" style="683" min="12" max="12"/>
    <col width="4.875" customWidth="1" style="683" min="13" max="14"/>
    <col width="8.375" customWidth="1" style="683" min="15" max="15"/>
    <col width="10.25" customWidth="1" style="683" min="16" max="16"/>
    <col width="10.5" customWidth="1" style="683" min="17" max="17"/>
    <col width="5.5" customWidth="1" style="683" min="18" max="18"/>
    <col width="18.125" customWidth="1" style="683" min="19" max="19"/>
    <col width="3" customWidth="1" style="683" min="20" max="20"/>
    <col width="8.375" customWidth="1" style="683" min="21" max="21"/>
    <col width="8.75" customWidth="1" style="683" min="22" max="22"/>
  </cols>
  <sheetData>
    <row r="1" ht="50.25" customHeight="1" s="683" thickBot="1">
      <c r="A1" s="858">
        <f>CONCATENATE(輸入!$S$18,輸入!$T$18,輸入!$S$19,輸入!$T$19,輸入!$S$20,輸入!$T$20,"毒品案件蒐證照片")</f>
        <v/>
      </c>
      <c r="B1" s="851" t="n"/>
      <c r="C1" s="851" t="n"/>
      <c r="D1" s="851" t="n"/>
      <c r="E1" s="851" t="n"/>
      <c r="F1" s="851" t="n"/>
      <c r="G1" s="851" t="n"/>
      <c r="H1" s="851" t="n"/>
      <c r="I1" s="851" t="n"/>
      <c r="J1" s="851" t="n"/>
      <c r="K1" s="851" t="n"/>
      <c r="L1" s="858">
        <f>CONCATENATE(輸入!$S$18,輸入!$T$18,輸入!$S$19,輸入!$T$19,輸入!$S$20,輸入!$T$20,"毒品案件蒐證照片")</f>
        <v/>
      </c>
      <c r="M1" s="851" t="n"/>
      <c r="N1" s="851" t="n"/>
      <c r="O1" s="851" t="n"/>
      <c r="P1" s="851" t="n"/>
      <c r="Q1" s="851" t="n"/>
      <c r="R1" s="851" t="n"/>
      <c r="S1" s="851" t="n"/>
      <c r="T1" s="851" t="n"/>
      <c r="U1" s="851" t="n"/>
      <c r="V1" s="851" t="n"/>
    </row>
    <row r="2" ht="326.1" customHeight="1" s="683" thickBot="1" thickTop="1">
      <c r="A2" s="919" t="n"/>
      <c r="B2" s="920" t="n"/>
      <c r="C2" s="920" t="n"/>
      <c r="D2" s="920" t="n"/>
      <c r="E2" s="920" t="n"/>
      <c r="F2" s="920" t="n"/>
      <c r="G2" s="920" t="n"/>
      <c r="H2" s="920" t="n"/>
      <c r="I2" s="920" t="n"/>
      <c r="J2" s="920" t="n"/>
      <c r="K2" s="921" t="n"/>
      <c r="L2" s="919" t="n"/>
      <c r="M2" s="920" t="n"/>
      <c r="N2" s="920" t="n"/>
      <c r="O2" s="920" t="n"/>
      <c r="P2" s="920" t="n"/>
      <c r="Q2" s="920" t="n"/>
      <c r="R2" s="920" t="n"/>
      <c r="S2" s="920" t="n"/>
      <c r="T2" s="920" t="n"/>
      <c r="U2" s="920" t="n"/>
      <c r="V2" s="921" t="n"/>
    </row>
    <row r="3" ht="19.7" customHeight="1" s="683" thickBot="1" thickTop="1">
      <c r="A3" s="917">
        <f>CONCATENATE("說明：犯罪嫌疑人",word用!$H$2,"(",word用!$I$2,")。")</f>
        <v/>
      </c>
      <c r="B3" s="831" t="n"/>
      <c r="C3" s="831" t="n"/>
      <c r="D3" s="831" t="n"/>
      <c r="E3" s="831" t="n"/>
      <c r="F3" s="831" t="n"/>
      <c r="G3" s="831" t="n"/>
      <c r="H3" s="831" t="n"/>
      <c r="I3" s="831" t="n"/>
      <c r="J3" s="831" t="n"/>
      <c r="K3" s="832" t="n"/>
      <c r="L3" s="917" t="inlineStr">
        <is>
          <t>說明：鑑驗結果特寫。</t>
        </is>
      </c>
      <c r="M3" s="831" t="n"/>
      <c r="N3" s="831" t="n"/>
      <c r="O3" s="831" t="n"/>
      <c r="P3" s="831" t="n"/>
      <c r="Q3" s="831" t="n"/>
      <c r="R3" s="831" t="n"/>
      <c r="S3" s="831" t="n"/>
      <c r="T3" s="831" t="n"/>
      <c r="U3" s="831" t="n"/>
      <c r="V3" s="832" t="n"/>
    </row>
    <row r="4" ht="19.7" customHeight="1" s="683" thickBot="1" thickTop="1">
      <c r="A4" s="918" t="n"/>
      <c r="B4" s="851" t="n"/>
      <c r="C4" s="851" t="n"/>
      <c r="D4" s="851" t="n"/>
      <c r="E4" s="851" t="n"/>
      <c r="F4" s="851" t="n"/>
      <c r="G4" s="851" t="n"/>
      <c r="H4" s="851" t="n"/>
      <c r="I4" s="851" t="n"/>
      <c r="J4" s="851" t="n"/>
      <c r="K4" s="852" t="n"/>
      <c r="L4" s="918" t="n"/>
      <c r="M4" s="851" t="n"/>
      <c r="N4" s="851" t="n"/>
      <c r="O4" s="851" t="n"/>
      <c r="P4" s="851" t="n"/>
      <c r="Q4" s="851" t="n"/>
      <c r="R4" s="851" t="n"/>
      <c r="S4" s="851" t="n"/>
      <c r="T4" s="851" t="n"/>
      <c r="U4" s="851" t="n"/>
      <c r="V4" s="852" t="n"/>
    </row>
    <row r="5" ht="326.1" customHeight="1" s="683" thickBot="1" thickTop="1">
      <c r="A5" s="922" t="n"/>
      <c r="B5" s="920" t="n"/>
      <c r="C5" s="920" t="n"/>
      <c r="D5" s="920" t="n"/>
      <c r="E5" s="920" t="n"/>
      <c r="F5" s="920" t="n"/>
      <c r="G5" s="920" t="n"/>
      <c r="H5" s="920" t="n"/>
      <c r="I5" s="920" t="n"/>
      <c r="J5" s="920" t="n"/>
      <c r="K5" s="921" t="n"/>
      <c r="L5" s="923" t="n"/>
    </row>
    <row r="6" ht="19.7" customHeight="1" s="683" thickBot="1" thickTop="1">
      <c r="A6" s="917" t="inlineStr">
        <is>
          <t>說明：裝有疑似安非他命液體一瓶</t>
        </is>
      </c>
      <c r="B6" s="831" t="n"/>
      <c r="C6" s="831" t="n"/>
      <c r="D6" s="831" t="n"/>
      <c r="E6" s="831" t="n"/>
      <c r="F6" s="831" t="n"/>
      <c r="G6" s="831" t="n"/>
      <c r="H6" s="831" t="n"/>
      <c r="I6" s="831" t="n"/>
      <c r="J6" s="831" t="n"/>
      <c r="K6" s="832" t="n"/>
    </row>
    <row r="7" ht="19.5" customHeight="1" s="683" thickBot="1" thickTop="1">
      <c r="A7" s="918" t="n"/>
      <c r="B7" s="851" t="n"/>
      <c r="C7" s="851" t="n"/>
      <c r="D7" s="851" t="n"/>
      <c r="E7" s="851" t="n"/>
      <c r="F7" s="851" t="n"/>
      <c r="G7" s="851" t="n"/>
      <c r="H7" s="851" t="n"/>
      <c r="I7" s="851" t="n"/>
      <c r="J7" s="851" t="n"/>
      <c r="K7" s="852" t="n"/>
      <c r="L7" s="704" t="n"/>
    </row>
    <row r="8" ht="17.25" customHeight="1" s="683" thickTop="1"/>
    <row r="14" ht="16.5" customHeight="1" s="683"/>
  </sheetData>
  <mergeCells count="10">
    <mergeCell ref="L3:V4"/>
    <mergeCell ref="A3:K4"/>
    <mergeCell ref="L2:V2"/>
    <mergeCell ref="A2:K2"/>
    <mergeCell ref="A1:K1"/>
    <mergeCell ref="L7:V7"/>
    <mergeCell ref="L1:V1"/>
    <mergeCell ref="A6:K7"/>
    <mergeCell ref="A5:K5"/>
    <mergeCell ref="L5:V6"/>
  </mergeCells>
  <printOptions horizontalCentered="1"/>
  <pageMargins left="0.7874015748031497" right="0.3937007874015748" top="0.5905511811023623" bottom="0.7086614173228347" header="0" footer="0.3937007874015748"/>
  <pageSetup orientation="portrait" paperSize="9"/>
  <headerFooter>
    <oddHeader/>
    <oddFooter>&amp;C第 &amp;P 頁，共 &amp;N 頁</oddFooter>
    <evenHeader/>
    <evenFooter/>
    <firstHeader/>
    <firstFooter/>
  </headerFooter>
  <drawing xmlns:r="http://schemas.openxmlformats.org/officeDocument/2006/relationships" r:id="rId1"/>
</worksheet>
</file>

<file path=xl/worksheets/sheet28.xml><?xml version="1.0" encoding="utf-8"?>
<worksheet xmlns="http://schemas.openxmlformats.org/spreadsheetml/2006/main">
  <sheetPr codeName="工作表43">
    <tabColor theme="9"/>
    <outlinePr summaryBelow="1" summaryRight="1"/>
    <pageSetUpPr/>
  </sheetPr>
  <dimension ref="A1:AG24"/>
  <sheetViews>
    <sheetView showGridLines="0" view="pageBreakPreview" topLeftCell="A7" zoomScaleNormal="327" zoomScaleSheetLayoutView="100" zoomScalePageLayoutView="85" workbookViewId="0">
      <selection activeCell="A2" sqref="A2:AG2"/>
    </sheetView>
  </sheetViews>
  <sheetFormatPr baseColWidth="8" defaultRowHeight="16.5"/>
  <cols>
    <col width="2.625" customWidth="1" style="683" min="1" max="33"/>
  </cols>
  <sheetData>
    <row r="1" ht="30" customHeight="1" s="683">
      <c r="A1" s="924" t="inlineStr">
        <is>
          <t>三、四級毒品裁罰案件管制表</t>
        </is>
      </c>
    </row>
    <row r="2" ht="19.5" customHeight="1" s="683">
      <c r="A2" s="926" t="inlineStr">
        <is>
          <t>*各單位送案時請確認有無檢附下列資料*</t>
        </is>
      </c>
    </row>
    <row r="3" ht="19.5" customHeight="1" s="683">
      <c r="A3" s="926" t="inlineStr">
        <is>
          <t>*未被移送之在場人、關係人如有採尿比照辦理*</t>
        </is>
      </c>
    </row>
    <row r="4" ht="33.75" customHeight="1" s="683">
      <c r="A4" s="761" t="inlineStr">
        <is>
          <t>V 1.陳報單</t>
        </is>
      </c>
    </row>
    <row r="5" ht="33.75" customHeight="1" s="683">
      <c r="A5" s="761" t="inlineStr">
        <is>
          <t>V 2.受處分人戶役政戶籍資料(未滿20歲者，需檢附代理人之</t>
        </is>
      </c>
    </row>
    <row r="6" ht="33.75" customHeight="1" s="683">
      <c r="A6" s="761" t="inlineStr">
        <is>
          <t xml:space="preserve">　　戶籍資料，戶籍不得為戶政事務所地址)</t>
        </is>
      </c>
    </row>
    <row r="7" ht="33.75" customHeight="1" s="683">
      <c r="A7" s="761" t="inlineStr">
        <is>
          <t>V 3.查扣物品檢驗結果無毒品成分代為毀棄同意書。</t>
        </is>
      </c>
    </row>
    <row r="8" ht="33.75" customHeight="1" s="683">
      <c r="A8" s="761" t="inlineStr">
        <is>
          <t>V 4.調查筆錄(如有其他涉案關係人亦須檢附)</t>
        </is>
      </c>
    </row>
    <row r="9" ht="33.75" customHeight="1" s="683">
      <c r="A9" s="761" t="inlineStr">
        <is>
          <t xml:space="preserve"> □承認持有</t>
        </is>
      </c>
    </row>
    <row r="10" ht="33.75" customHeight="1" s="683">
      <c r="A10" s="761" t="inlineStr">
        <is>
          <t xml:space="preserve"> □承認施用</t>
        </is>
      </c>
    </row>
    <row r="11" ht="33.75" customHeight="1" s="683">
      <c r="A11" s="761" t="inlineStr">
        <is>
          <t xml:space="preserve"> □不承認持有(如有指名誰持有，須附該被指名者筆錄，或</t>
        </is>
      </c>
    </row>
    <row r="12" ht="33.75" customHeight="1" s="683">
      <c r="A12" s="761" t="inlineStr">
        <is>
          <t xml:space="preserve">　 發現現處所之所有人筆錄，如車主、屋主、承租人等)</t>
        </is>
      </c>
    </row>
    <row r="13" ht="33.75" customHeight="1" s="683">
      <c r="A13" s="761">
        <f>CONCATENATE(" ",IF(輸入!AQ29="愷他命","V 毋須處方簽(非FM2、一粒眠、佐沛眠等管制藥品)","□毋須處方簽(非FM2、一粒眠、佐沛眠等管制藥品"))</f>
        <v/>
      </c>
    </row>
    <row r="14" ht="33.75" customHeight="1" s="683">
      <c r="A14" s="761">
        <f>CONCATENATE(" ",IF(輸入!AQ29="愷他命","□無處方簽","□無處方簽"))</f>
        <v/>
      </c>
    </row>
    <row r="15" ht="33.75" customHeight="1" s="683">
      <c r="A15" s="761" t="inlineStr">
        <is>
          <t xml:space="preserve"> □有處方簽(敘明診所者須至診所索取，診所不願意提供者</t>
        </is>
      </c>
    </row>
    <row r="16" ht="33.75" customHeight="1" s="683">
      <c r="A16" s="761" t="inlineStr">
        <is>
          <t xml:space="preserve">　 需附查訪紀錄表)</t>
        </is>
      </c>
    </row>
    <row r="17" ht="33.75" customHeight="1" s="683">
      <c r="A17" s="761" t="inlineStr">
        <is>
          <t>V 5.自願受搜索同意書</t>
        </is>
      </c>
    </row>
    <row r="18" ht="33.75" customHeight="1" s="683">
      <c r="A18" s="761" t="inlineStr">
        <is>
          <t>V 6.搜索扣押筆錄</t>
        </is>
      </c>
    </row>
    <row r="19" ht="33.75" customHeight="1" s="683">
      <c r="A19" s="761" t="inlineStr">
        <is>
          <t>V 7.扣押物品目錄表清冊</t>
        </is>
      </c>
    </row>
    <row r="20" ht="33.75" customHeight="1" s="683">
      <c r="A20" s="761" t="inlineStr">
        <is>
          <t>V 8.查獲現場及毒品秤重照片</t>
        </is>
      </c>
    </row>
    <row r="21" ht="33.75" customHeight="1" s="683">
      <c r="A21" s="761" t="inlineStr">
        <is>
          <t>V 9.查獲毒品案件嫌犯通聯紀錄表</t>
        </is>
      </c>
    </row>
    <row r="22" ht="33.75" customHeight="1" s="683">
      <c r="A22" s="761" t="inlineStr">
        <is>
          <t>□10.其他(職務報告等因案情認為有必要檢附之資料)</t>
        </is>
      </c>
    </row>
    <row r="23" ht="33.75" customHeight="1" s="683">
      <c r="A23" s="925" t="inlineStr">
        <is>
          <t xml:space="preserve">承辦人:                             </t>
        </is>
      </c>
      <c r="T23" s="925" t="inlineStr">
        <is>
          <t xml:space="preserve">主管:                             </t>
        </is>
      </c>
    </row>
    <row r="24" ht="21" customHeight="1" s="683">
      <c r="A24" s="1166" t="n"/>
    </row>
  </sheetData>
  <mergeCells count="24">
    <mergeCell ref="A1:AG1"/>
    <mergeCell ref="A6:AG6"/>
    <mergeCell ref="A23:S23"/>
    <mergeCell ref="A16:AG16"/>
    <mergeCell ref="A7:AG7"/>
    <mergeCell ref="A18:AG18"/>
    <mergeCell ref="A3:AG3"/>
    <mergeCell ref="A21:AG21"/>
    <mergeCell ref="A12:AG12"/>
    <mergeCell ref="A2:AG2"/>
    <mergeCell ref="A5:AG5"/>
    <mergeCell ref="A14:AG14"/>
    <mergeCell ref="A17:AG17"/>
    <mergeCell ref="A8:AG8"/>
    <mergeCell ref="A22:AG22"/>
    <mergeCell ref="A4:AG4"/>
    <mergeCell ref="A20:AG20"/>
    <mergeCell ref="A19:AG19"/>
    <mergeCell ref="A10:AG10"/>
    <mergeCell ref="T23:AG23"/>
    <mergeCell ref="A13:AG13"/>
    <mergeCell ref="A9:AG9"/>
    <mergeCell ref="A15:AG15"/>
    <mergeCell ref="A11:AG11"/>
  </mergeCells>
  <pageMargins left="0.7" right="0.7" top="0.75" bottom="0.75" header="0.3" footer="0.3"/>
  <pageSetup orientation="portrait" paperSize="9"/>
</worksheet>
</file>

<file path=xl/worksheets/sheet29.xml><?xml version="1.0" encoding="utf-8"?>
<worksheet xmlns="http://schemas.openxmlformats.org/spreadsheetml/2006/main">
  <sheetPr codeName="工作表19">
    <tabColor rgb="FFFF0000"/>
    <outlinePr summaryBelow="1" summaryRight="1"/>
    <pageSetUpPr/>
  </sheetPr>
  <dimension ref="B1:AA50"/>
  <sheetViews>
    <sheetView showGridLines="0" showZeros="0" view="pageBreakPreview" topLeftCell="A5" zoomScale="85" zoomScaleNormal="75" zoomScaleSheetLayoutView="85" workbookViewId="0">
      <selection activeCell="AC14" sqref="AC14"/>
    </sheetView>
  </sheetViews>
  <sheetFormatPr baseColWidth="8" defaultColWidth="3.125" defaultRowHeight="18.75" customHeight="1"/>
  <cols>
    <col width="1.625" customWidth="1" style="25" min="1" max="1"/>
    <col width="3.375" customWidth="1" style="25" min="2" max="6"/>
    <col width="3.75" customWidth="1" style="25" min="7" max="7"/>
    <col width="3.375" customWidth="1" style="25" min="8" max="8"/>
    <col width="3.875" customWidth="1" style="25" min="9" max="9"/>
    <col width="3.375" customWidth="1" style="25" min="10" max="13"/>
    <col width="4.625" customWidth="1" style="25" min="14" max="15"/>
    <col width="3.375" customWidth="1" style="25" min="16" max="27"/>
    <col width="3.125" customWidth="1" style="25" min="28" max="29"/>
    <col width="3.125" customWidth="1" style="25" min="30" max="16384"/>
  </cols>
  <sheetData>
    <row r="1" ht="22.5" customHeight="1" s="683">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c r="AA1" s="26" t="n"/>
    </row>
    <row r="2" ht="34.5" customHeight="1" s="683">
      <c r="B2" s="639">
        <f>CONCATENATE(,輸入!$S$18,輸入!$T$18,輸入!$S$19,輸入!$T$19,輸入!$S$20,輸入!$T$20,"陳報單")</f>
        <v/>
      </c>
      <c r="C2" s="637" t="n"/>
      <c r="D2" s="637" t="n"/>
      <c r="E2" s="637" t="n"/>
      <c r="F2" s="637" t="n"/>
      <c r="G2" s="637" t="n"/>
      <c r="H2" s="637" t="n"/>
      <c r="I2" s="637" t="n"/>
      <c r="J2" s="637" t="n"/>
      <c r="K2" s="637" t="n"/>
      <c r="L2" s="637" t="n"/>
      <c r="M2" s="637" t="n"/>
      <c r="N2" s="637" t="n"/>
      <c r="O2" s="637" t="n"/>
      <c r="P2" s="637" t="n"/>
      <c r="Q2" s="637" t="n"/>
      <c r="R2" s="637" t="n"/>
      <c r="S2" s="637" t="n"/>
      <c r="T2" s="637" t="n"/>
      <c r="U2" s="637" t="n"/>
      <c r="V2" s="637" t="n"/>
      <c r="W2" s="637" t="n"/>
      <c r="X2" s="637" t="n"/>
      <c r="Y2" s="637" t="n"/>
      <c r="Z2" s="637" t="n"/>
      <c r="AA2" s="637" t="n"/>
    </row>
    <row r="3" ht="18.75" customHeight="1" s="683">
      <c r="B3" s="29" t="n"/>
      <c r="C3" s="29">
        <f>IF(ISBLANK(輸入!$C$11),下拉用!$J$11,下拉用!$J$10)</f>
        <v/>
      </c>
      <c r="E3" s="40" t="n"/>
      <c r="F3" s="40" t="n"/>
      <c r="G3" s="40" t="n"/>
      <c r="H3" s="40" t="n"/>
      <c r="I3" s="41" t="n"/>
      <c r="J3" s="650" t="n"/>
      <c r="K3" s="650" t="n"/>
      <c r="L3" s="32" t="n"/>
      <c r="N3" s="31" t="inlineStr">
        <is>
          <t>發文字號：</t>
        </is>
      </c>
      <c r="O3" s="30" t="n"/>
      <c r="P3" s="26" t="n"/>
      <c r="Q3" s="26" t="n"/>
      <c r="S3" s="28" t="n"/>
      <c r="T3" s="29" t="inlineStr">
        <is>
          <t>案件編號：</t>
        </is>
      </c>
      <c r="U3" s="28" t="n"/>
      <c r="V3" s="28" t="n"/>
      <c r="W3" s="650">
        <f>IF(ISBLANK(word用!$U$2),"",word用!$U$2)</f>
        <v/>
      </c>
      <c r="X3" s="631" t="n"/>
      <c r="Y3" s="631" t="n"/>
      <c r="Z3" s="631" t="n"/>
      <c r="AA3" s="631" t="n"/>
    </row>
    <row r="4" ht="18.75" customHeight="1" s="683">
      <c r="B4" s="633" t="inlineStr">
        <is>
          <t>案類</t>
        </is>
      </c>
      <c r="C4" s="626" t="n"/>
      <c r="D4" s="626" t="n"/>
      <c r="E4" s="625" t="n"/>
      <c r="F4" s="633">
        <f>IF(輸入!$C$2="違反社會秩序維護法","□刑事案件■違反社會秩序維護法□違反行政法令案件","■刑事案件□違反社會秩序維護法□違反行政法令案件")</f>
        <v/>
      </c>
      <c r="G4" s="626" t="n"/>
      <c r="H4" s="626" t="n"/>
      <c r="I4" s="626" t="n"/>
      <c r="J4" s="626" t="n"/>
      <c r="K4" s="626" t="n"/>
      <c r="L4" s="626" t="n"/>
      <c r="M4" s="626" t="n"/>
      <c r="N4" s="626" t="n"/>
      <c r="O4" s="626" t="n"/>
      <c r="P4" s="626" t="n"/>
      <c r="Q4" s="626" t="n"/>
      <c r="R4" s="626" t="n"/>
      <c r="S4" s="626" t="n"/>
      <c r="T4" s="626" t="n"/>
      <c r="U4" s="626" t="n"/>
      <c r="V4" s="626" t="n"/>
      <c r="W4" s="626" t="n"/>
      <c r="X4" s="626" t="n"/>
      <c r="Y4" s="626" t="n"/>
      <c r="Z4" s="626" t="n"/>
      <c r="AA4" s="625" t="n"/>
    </row>
    <row r="5" ht="18.75" customHeight="1" s="683">
      <c r="B5" s="633" t="inlineStr">
        <is>
          <t>嫌疑人</t>
        </is>
      </c>
      <c r="C5" s="628" t="n"/>
      <c r="D5" s="628" t="n"/>
      <c r="E5" s="629" t="n"/>
      <c r="F5" s="633" t="inlineStr">
        <is>
          <t>性別</t>
        </is>
      </c>
      <c r="G5" s="629" t="n"/>
      <c r="H5" s="633" t="inlineStr">
        <is>
          <t>年齡</t>
        </is>
      </c>
      <c r="I5" s="629" t="n"/>
      <c r="J5" s="633" t="inlineStr">
        <is>
          <t>出生日期</t>
        </is>
      </c>
      <c r="K5" s="628" t="n"/>
      <c r="L5" s="628" t="n"/>
      <c r="M5" s="629" t="n"/>
      <c r="N5" s="633" t="inlineStr">
        <is>
          <t>職業</t>
        </is>
      </c>
      <c r="O5" s="629" t="n"/>
      <c r="P5" s="633" t="inlineStr">
        <is>
          <t>出生地</t>
        </is>
      </c>
      <c r="Q5" s="628" t="n"/>
      <c r="R5" s="629" t="n"/>
      <c r="S5" s="655" t="inlineStr">
        <is>
          <t xml:space="preserve">身分證
</t>
        </is>
      </c>
      <c r="T5" s="628" t="n"/>
      <c r="U5" s="628" t="n"/>
      <c r="V5" s="628" t="n"/>
      <c r="W5" s="629" t="n"/>
      <c r="X5" s="633" t="inlineStr">
        <is>
          <t>前科</t>
        </is>
      </c>
      <c r="Y5" s="628" t="n"/>
      <c r="Z5" s="628" t="n"/>
      <c r="AA5" s="629" t="n"/>
    </row>
    <row r="6" ht="18.75" customHeight="1" s="683">
      <c r="B6" s="630" t="n"/>
      <c r="C6" s="631" t="n"/>
      <c r="D6" s="631" t="n"/>
      <c r="E6" s="632" t="n"/>
      <c r="F6" s="630" t="n"/>
      <c r="G6" s="632" t="n"/>
      <c r="H6" s="630" t="n"/>
      <c r="I6" s="632" t="n"/>
      <c r="J6" s="630" t="n"/>
      <c r="K6" s="631" t="n"/>
      <c r="L6" s="631" t="n"/>
      <c r="M6" s="632" t="n"/>
      <c r="N6" s="630" t="n"/>
      <c r="O6" s="632" t="n"/>
      <c r="P6" s="630" t="n"/>
      <c r="Q6" s="631" t="n"/>
      <c r="R6" s="632" t="n"/>
      <c r="S6" s="642" t="inlineStr">
        <is>
          <t>統一編號</t>
        </is>
      </c>
      <c r="T6" s="631" t="n"/>
      <c r="U6" s="631" t="n"/>
      <c r="V6" s="631" t="n"/>
      <c r="W6" s="632" t="n"/>
      <c r="X6" s="630" t="n"/>
      <c r="Y6" s="631" t="n"/>
      <c r="Z6" s="631" t="n"/>
      <c r="AA6" s="632" t="n"/>
    </row>
    <row r="7" ht="37.5" customHeight="1" s="683">
      <c r="B7" s="624" t="inlineStr">
        <is>
          <t>張鈞揮</t>
        </is>
      </c>
      <c r="C7" s="628" t="n"/>
      <c r="D7" s="628" t="n"/>
      <c r="E7" s="629" t="n"/>
      <c r="F7" s="624">
        <f>VLOOKUP($B$7,個資,11,FALSE)</f>
        <v/>
      </c>
      <c r="G7" s="625" t="n"/>
      <c r="H7" s="624">
        <f>VLOOKUP($B$7,個資,10,FALSE)</f>
        <v/>
      </c>
      <c r="I7" s="625" t="n"/>
      <c r="J7" s="656">
        <f>VLOOKUP($B$7,個資,16,FALSE)</f>
        <v/>
      </c>
      <c r="K7" s="626" t="n"/>
      <c r="L7" s="626" t="n"/>
      <c r="M7" s="625" t="n"/>
      <c r="N7" s="624">
        <f>VLOOKUP($B$7,個資,8,FALSE)</f>
        <v/>
      </c>
      <c r="O7" s="625" t="n"/>
      <c r="P7" s="624">
        <f>VLOOKUP($B$7,個資,3,FALSE)</f>
        <v/>
      </c>
      <c r="Q7" s="626" t="n"/>
      <c r="R7" s="625" t="n"/>
      <c r="S7" s="624">
        <f>UPPER(VLOOKUP($B$7,個資,2,FALSE))</f>
        <v/>
      </c>
      <c r="T7" s="626" t="n"/>
      <c r="U7" s="626" t="n"/>
      <c r="V7" s="626" t="n"/>
      <c r="W7" s="625" t="n"/>
      <c r="X7" s="624" t="inlineStr">
        <is>
          <t>如附件</t>
        </is>
      </c>
      <c r="Y7" s="626" t="n"/>
      <c r="Z7" s="626" t="n"/>
      <c r="AA7" s="625" t="n"/>
    </row>
    <row r="8" ht="37.5" customHeight="1" s="683">
      <c r="B8" s="630" t="n"/>
      <c r="C8" s="631" t="n"/>
      <c r="D8" s="631" t="n"/>
      <c r="E8" s="632" t="n"/>
      <c r="F8" s="633" t="inlineStr">
        <is>
          <t>住居所</t>
        </is>
      </c>
      <c r="G8" s="626" t="n"/>
      <c r="H8" s="626" t="n"/>
      <c r="I8" s="625" t="n"/>
      <c r="J8" s="643">
        <f>VLOOKUP($B$7,個資,6,FALSE)</f>
        <v/>
      </c>
      <c r="K8" s="626" t="n"/>
      <c r="L8" s="626" t="n"/>
      <c r="M8" s="626" t="n"/>
      <c r="N8" s="626" t="n"/>
      <c r="O8" s="626" t="n"/>
      <c r="P8" s="626" t="n"/>
      <c r="Q8" s="626" t="n"/>
      <c r="R8" s="626" t="n"/>
      <c r="S8" s="626" t="n"/>
      <c r="T8" s="626" t="n"/>
      <c r="U8" s="626" t="n"/>
      <c r="V8" s="626" t="n"/>
      <c r="W8" s="626" t="n"/>
      <c r="X8" s="626" t="n"/>
      <c r="Y8" s="626" t="n"/>
      <c r="Z8" s="626" t="n"/>
      <c r="AA8" s="625" t="n"/>
    </row>
    <row r="9" ht="18.75" customHeight="1" s="683">
      <c r="B9" s="633" t="inlineStr">
        <is>
          <t>關係人</t>
        </is>
      </c>
      <c r="C9" s="628" t="n"/>
      <c r="D9" s="628" t="n"/>
      <c r="E9" s="629" t="n"/>
      <c r="F9" s="633" t="inlineStr">
        <is>
          <t>性別</t>
        </is>
      </c>
      <c r="G9" s="629" t="n"/>
      <c r="H9" s="633" t="inlineStr">
        <is>
          <t>年齡</t>
        </is>
      </c>
      <c r="I9" s="629" t="n"/>
      <c r="J9" s="633" t="inlineStr">
        <is>
          <t>出生日期</t>
        </is>
      </c>
      <c r="K9" s="628" t="n"/>
      <c r="L9" s="628" t="n"/>
      <c r="M9" s="629" t="n"/>
      <c r="N9" s="633" t="inlineStr">
        <is>
          <t>職業</t>
        </is>
      </c>
      <c r="O9" s="629" t="n"/>
      <c r="P9" s="633" t="inlineStr">
        <is>
          <t>出生地</t>
        </is>
      </c>
      <c r="Q9" s="628" t="n"/>
      <c r="R9" s="629" t="n"/>
      <c r="S9" s="627">
        <f>CONCATENATE("身分證",CHAR(10),"統一編號")</f>
        <v/>
      </c>
      <c r="T9" s="628" t="n"/>
      <c r="U9" s="628" t="n"/>
      <c r="V9" s="628" t="n"/>
      <c r="W9" s="629" t="n"/>
      <c r="X9" s="651" t="inlineStr">
        <is>
          <t>何　　種
關　　係</t>
        </is>
      </c>
      <c r="Y9" s="628" t="n"/>
      <c r="Z9" s="628" t="n"/>
      <c r="AA9" s="629" t="n"/>
    </row>
    <row r="10" ht="18.75" customHeight="1" s="683">
      <c r="B10" s="630" t="n"/>
      <c r="C10" s="631" t="n"/>
      <c r="D10" s="631" t="n"/>
      <c r="E10" s="632" t="n"/>
      <c r="F10" s="630" t="n"/>
      <c r="G10" s="632" t="n"/>
      <c r="H10" s="630" t="n"/>
      <c r="I10" s="632" t="n"/>
      <c r="J10" s="630" t="n"/>
      <c r="K10" s="631" t="n"/>
      <c r="L10" s="631" t="n"/>
      <c r="M10" s="632" t="n"/>
      <c r="N10" s="630" t="n"/>
      <c r="O10" s="632" t="n"/>
      <c r="P10" s="630" t="n"/>
      <c r="Q10" s="631" t="n"/>
      <c r="R10" s="632" t="n"/>
      <c r="S10" s="630" t="n"/>
      <c r="T10" s="631" t="n"/>
      <c r="U10" s="631" t="n"/>
      <c r="V10" s="631" t="n"/>
      <c r="W10" s="632" t="n"/>
      <c r="X10" s="630" t="n"/>
      <c r="Y10" s="631" t="n"/>
      <c r="Z10" s="631" t="n"/>
      <c r="AA10" s="632" t="n"/>
    </row>
    <row r="11" ht="37.5" customHeight="1" s="683">
      <c r="B11" s="624" t="inlineStr">
        <is>
          <t>邱曉琳</t>
        </is>
      </c>
      <c r="C11" s="628" t="n"/>
      <c r="D11" s="628" t="n"/>
      <c r="E11" s="629" t="n"/>
      <c r="F11" s="624">
        <f>IFERROR(IF($B$11="","",VLOOKUP($B$11,個資,11,FALSE)),"")</f>
        <v/>
      </c>
      <c r="G11" s="625" t="n"/>
      <c r="H11" s="624">
        <f>IFERROR(IF($B$11="","",VLOOKUP($B$11,個資,10,FALSE)),"")</f>
        <v/>
      </c>
      <c r="I11" s="625" t="n"/>
      <c r="J11" s="656">
        <f>IF($B$11="","",VLOOKUP($B$11,個資,16,FALSE))</f>
        <v/>
      </c>
      <c r="K11" s="626" t="n"/>
      <c r="L11" s="626" t="n"/>
      <c r="M11" s="625" t="n"/>
      <c r="N11" s="624">
        <f>IF($B$11="","",VLOOKUP($B$11,個資,8,FALSE))</f>
        <v/>
      </c>
      <c r="O11" s="625" t="n"/>
      <c r="P11" s="624">
        <f>IF($B$11="","",VLOOKUP($B$11,個資,3,FALSE))</f>
        <v/>
      </c>
      <c r="Q11" s="626" t="n"/>
      <c r="R11" s="625" t="n"/>
      <c r="S11" s="624">
        <f>UPPER(IF($B$11="","",VLOOKUP($B$11,個資,2,FALSE)))</f>
        <v/>
      </c>
      <c r="T11" s="626" t="n"/>
      <c r="U11" s="626" t="n"/>
      <c r="V11" s="626" t="n"/>
      <c r="W11" s="625" t="n"/>
      <c r="X11" s="624">
        <f>IF($B$11="","",VLOOKUP($B$11,個資,12,FALSE))</f>
        <v/>
      </c>
      <c r="Y11" s="626" t="n"/>
      <c r="Z11" s="626" t="n"/>
      <c r="AA11" s="625" t="n"/>
    </row>
    <row r="12" ht="37.5" customHeight="1" s="683">
      <c r="B12" s="630" t="n"/>
      <c r="C12" s="631" t="n"/>
      <c r="D12" s="631" t="n"/>
      <c r="E12" s="632" t="n"/>
      <c r="F12" s="633" t="inlineStr">
        <is>
          <t>住居所</t>
        </is>
      </c>
      <c r="G12" s="626" t="n"/>
      <c r="H12" s="626" t="n"/>
      <c r="I12" s="625" t="n"/>
      <c r="J12" s="643">
        <f>IF($B$11="","",VLOOKUP($B$11,個資,6,FALSE))</f>
        <v/>
      </c>
      <c r="K12" s="626" t="n"/>
      <c r="L12" s="626" t="n"/>
      <c r="M12" s="626" t="n"/>
      <c r="N12" s="626" t="n"/>
      <c r="O12" s="626" t="n"/>
      <c r="P12" s="626" t="n"/>
      <c r="Q12" s="626" t="n"/>
      <c r="R12" s="626" t="n"/>
      <c r="S12" s="626" t="n"/>
      <c r="T12" s="626" t="n"/>
      <c r="U12" s="626" t="n"/>
      <c r="V12" s="626" t="n"/>
      <c r="W12" s="626" t="n"/>
      <c r="X12" s="626" t="n"/>
      <c r="Y12" s="626" t="n"/>
      <c r="Z12" s="626" t="n"/>
      <c r="AA12" s="625" t="n"/>
    </row>
    <row r="13" ht="18.75" customHeight="1" s="683">
      <c r="B13" s="633" t="inlineStr">
        <is>
          <t>關係人</t>
        </is>
      </c>
      <c r="C13" s="628" t="n"/>
      <c r="D13" s="628" t="n"/>
      <c r="E13" s="629" t="n"/>
      <c r="F13" s="633" t="inlineStr">
        <is>
          <t>性別</t>
        </is>
      </c>
      <c r="G13" s="629" t="n"/>
      <c r="H13" s="633" t="inlineStr">
        <is>
          <t>年齡</t>
        </is>
      </c>
      <c r="I13" s="629" t="n"/>
      <c r="J13" s="633" t="inlineStr">
        <is>
          <t>出生日期</t>
        </is>
      </c>
      <c r="K13" s="628" t="n"/>
      <c r="L13" s="628" t="n"/>
      <c r="M13" s="629" t="n"/>
      <c r="N13" s="633" t="inlineStr">
        <is>
          <t>職業</t>
        </is>
      </c>
      <c r="O13" s="629" t="n"/>
      <c r="P13" s="633" t="inlineStr">
        <is>
          <t>出生地</t>
        </is>
      </c>
      <c r="Q13" s="628" t="n"/>
      <c r="R13" s="629" t="n"/>
      <c r="S13" s="627">
        <f>CONCATENATE("身分證",CHAR(10),"統一編號")</f>
        <v/>
      </c>
      <c r="T13" s="628" t="n"/>
      <c r="U13" s="628" t="n"/>
      <c r="V13" s="628" t="n"/>
      <c r="W13" s="629" t="n"/>
      <c r="X13" s="651" t="inlineStr">
        <is>
          <t>何　　種
關　　係</t>
        </is>
      </c>
      <c r="Y13" s="628" t="n"/>
      <c r="Z13" s="628" t="n"/>
      <c r="AA13" s="629" t="n"/>
    </row>
    <row r="14" ht="18.75" customHeight="1" s="683">
      <c r="B14" s="630" t="n"/>
      <c r="C14" s="631" t="n"/>
      <c r="D14" s="631" t="n"/>
      <c r="E14" s="632" t="n"/>
      <c r="F14" s="630" t="n"/>
      <c r="G14" s="632" t="n"/>
      <c r="H14" s="630" t="n"/>
      <c r="I14" s="632" t="n"/>
      <c r="J14" s="630" t="n"/>
      <c r="K14" s="631" t="n"/>
      <c r="L14" s="631" t="n"/>
      <c r="M14" s="632" t="n"/>
      <c r="N14" s="630" t="n"/>
      <c r="O14" s="632" t="n"/>
      <c r="P14" s="630" t="n"/>
      <c r="Q14" s="631" t="n"/>
      <c r="R14" s="632" t="n"/>
      <c r="S14" s="630" t="n"/>
      <c r="T14" s="631" t="n"/>
      <c r="U14" s="631" t="n"/>
      <c r="V14" s="631" t="n"/>
      <c r="W14" s="632" t="n"/>
      <c r="X14" s="630" t="n"/>
      <c r="Y14" s="631" t="n"/>
      <c r="Z14" s="631" t="n"/>
      <c r="AA14" s="632" t="n"/>
    </row>
    <row r="15" ht="37.5" customHeight="1" s="683">
      <c r="B15" s="624" t="inlineStr">
        <is>
          <t>顏文祥</t>
        </is>
      </c>
      <c r="C15" s="628" t="n"/>
      <c r="D15" s="628" t="n"/>
      <c r="E15" s="629" t="n"/>
      <c r="F15" s="624">
        <f>IFERROR(IF($B$15="","",VLOOKUP($B$15,個資,11,FALSE)),"")</f>
        <v/>
      </c>
      <c r="G15" s="625" t="n"/>
      <c r="H15" s="624">
        <f>IFERROR(IF($B$15="","",VLOOKUP($B$15,個資,10,FALSE)),"")</f>
        <v/>
      </c>
      <c r="I15" s="625" t="n"/>
      <c r="J15" s="656">
        <f>IF($B$15="","",VLOOKUP($B$15,個資,16,FALSE))</f>
        <v/>
      </c>
      <c r="K15" s="626" t="n"/>
      <c r="L15" s="626" t="n"/>
      <c r="M15" s="625" t="n"/>
      <c r="N15" s="624">
        <f>IF($B$15="","",VLOOKUP($B$15,個資,8,FALSE))</f>
        <v/>
      </c>
      <c r="O15" s="625" t="n"/>
      <c r="P15" s="624">
        <f>IF($B$15="","",VLOOKUP($B$15,個資,3,FALSE))</f>
        <v/>
      </c>
      <c r="Q15" s="626" t="n"/>
      <c r="R15" s="625" t="n"/>
      <c r="S15" s="624">
        <f>IF($B$15="","",UPPER(VLOOKUP($B$15,個資,2,FALSE)))</f>
        <v/>
      </c>
      <c r="T15" s="626" t="n"/>
      <c r="U15" s="626" t="n"/>
      <c r="V15" s="626" t="n"/>
      <c r="W15" s="625" t="n"/>
      <c r="X15" s="624">
        <f>IF($B$15="","",VLOOKUP($B$15,個資,12,FALSE))</f>
        <v/>
      </c>
      <c r="Y15" s="626" t="n"/>
      <c r="Z15" s="626" t="n"/>
      <c r="AA15" s="625" t="n"/>
    </row>
    <row r="16" ht="37.5" customHeight="1" s="683">
      <c r="B16" s="630" t="n"/>
      <c r="C16" s="631" t="n"/>
      <c r="D16" s="631" t="n"/>
      <c r="E16" s="632" t="n"/>
      <c r="F16" s="633" t="inlineStr">
        <is>
          <t>住居所</t>
        </is>
      </c>
      <c r="G16" s="626" t="n"/>
      <c r="H16" s="626" t="n"/>
      <c r="I16" s="625" t="n"/>
      <c r="J16" s="643">
        <f>IF($B$15="","",VLOOKUP($B$15,個資,6,FALSE))</f>
        <v/>
      </c>
      <c r="K16" s="626" t="n"/>
      <c r="L16" s="626" t="n"/>
      <c r="M16" s="626" t="n"/>
      <c r="N16" s="626" t="n"/>
      <c r="O16" s="626" t="n"/>
      <c r="P16" s="626" t="n"/>
      <c r="Q16" s="626" t="n"/>
      <c r="R16" s="626" t="n"/>
      <c r="S16" s="626" t="n"/>
      <c r="T16" s="626" t="n"/>
      <c r="U16" s="626" t="n"/>
      <c r="V16" s="626" t="n"/>
      <c r="W16" s="626" t="n"/>
      <c r="X16" s="626" t="n"/>
      <c r="Y16" s="626" t="n"/>
      <c r="Z16" s="626" t="n"/>
      <c r="AA16" s="625" t="n"/>
    </row>
    <row r="17" ht="18.75" customHeight="1" s="683">
      <c r="B17" s="633" t="inlineStr">
        <is>
          <t>關係人</t>
        </is>
      </c>
      <c r="C17" s="628" t="n"/>
      <c r="D17" s="628" t="n"/>
      <c r="E17" s="629" t="n"/>
      <c r="F17" s="633" t="inlineStr">
        <is>
          <t>性別</t>
        </is>
      </c>
      <c r="G17" s="629" t="n"/>
      <c r="H17" s="633" t="inlineStr">
        <is>
          <t>年齡</t>
        </is>
      </c>
      <c r="I17" s="629" t="n"/>
      <c r="J17" s="633" t="inlineStr">
        <is>
          <t>出生日期</t>
        </is>
      </c>
      <c r="K17" s="628" t="n"/>
      <c r="L17" s="628" t="n"/>
      <c r="M17" s="629" t="n"/>
      <c r="N17" s="633" t="inlineStr">
        <is>
          <t>職業</t>
        </is>
      </c>
      <c r="O17" s="629" t="n"/>
      <c r="P17" s="633" t="inlineStr">
        <is>
          <t>出生地</t>
        </is>
      </c>
      <c r="Q17" s="628" t="n"/>
      <c r="R17" s="629" t="n"/>
      <c r="S17" s="627">
        <f>CONCATENATE("身分證",CHAR(10),"統一編號")</f>
        <v/>
      </c>
      <c r="T17" s="628" t="n"/>
      <c r="U17" s="628" t="n"/>
      <c r="V17" s="628" t="n"/>
      <c r="W17" s="629" t="n"/>
      <c r="X17" s="651" t="inlineStr">
        <is>
          <t>何　　種
關　　係</t>
        </is>
      </c>
      <c r="Y17" s="628" t="n"/>
      <c r="Z17" s="628" t="n"/>
      <c r="AA17" s="629" t="n"/>
    </row>
    <row r="18" ht="18.75" customHeight="1" s="683">
      <c r="B18" s="630" t="n"/>
      <c r="C18" s="631" t="n"/>
      <c r="D18" s="631" t="n"/>
      <c r="E18" s="632" t="n"/>
      <c r="F18" s="630" t="n"/>
      <c r="G18" s="632" t="n"/>
      <c r="H18" s="630" t="n"/>
      <c r="I18" s="632" t="n"/>
      <c r="J18" s="630" t="n"/>
      <c r="K18" s="631" t="n"/>
      <c r="L18" s="631" t="n"/>
      <c r="M18" s="632" t="n"/>
      <c r="N18" s="630" t="n"/>
      <c r="O18" s="632" t="n"/>
      <c r="P18" s="630" t="n"/>
      <c r="Q18" s="631" t="n"/>
      <c r="R18" s="632" t="n"/>
      <c r="S18" s="630" t="n"/>
      <c r="T18" s="631" t="n"/>
      <c r="U18" s="631" t="n"/>
      <c r="V18" s="631" t="n"/>
      <c r="W18" s="632" t="n"/>
      <c r="X18" s="630" t="n"/>
      <c r="Y18" s="631" t="n"/>
      <c r="Z18" s="631" t="n"/>
      <c r="AA18" s="632" t="n"/>
    </row>
    <row r="19" ht="37.5" customFormat="1" customHeight="1" s="92">
      <c r="B19" s="624" t="n"/>
      <c r="C19" s="628" t="n"/>
      <c r="D19" s="628" t="n"/>
      <c r="E19" s="629" t="n"/>
      <c r="F19" s="624">
        <f>IFERROR(IF($B$19="","",VLOOKUP($B$19,個資,11,FALSE)),"")</f>
        <v/>
      </c>
      <c r="G19" s="625" t="n"/>
      <c r="H19" s="624">
        <f>IFERROR(IF($B$19="","",VLOOKUP($B$19,個資,10,FALSE)),"")</f>
        <v/>
      </c>
      <c r="I19" s="625" t="n"/>
      <c r="J19" s="656">
        <f>IF($B$19="","",VLOOKUP($B$19,個資,16,FALSE))</f>
        <v/>
      </c>
      <c r="K19" s="626" t="n"/>
      <c r="L19" s="626" t="n"/>
      <c r="M19" s="625" t="n"/>
      <c r="N19" s="624">
        <f>IF($B$19="","",VLOOKUP($B$19,個資,8,FALSE))</f>
        <v/>
      </c>
      <c r="O19" s="625" t="n"/>
      <c r="P19" s="624">
        <f>IF($B$19="","",VLOOKUP($B$19,個資,3,FALSE))</f>
        <v/>
      </c>
      <c r="Q19" s="626" t="n"/>
      <c r="R19" s="625" t="n"/>
      <c r="S19" s="624">
        <f>IF($B$19="","",UPPER(VLOOKUP($B$19,個資,2,FALSE)))</f>
        <v/>
      </c>
      <c r="T19" s="626" t="n"/>
      <c r="U19" s="626" t="n"/>
      <c r="V19" s="626" t="n"/>
      <c r="W19" s="625" t="n"/>
      <c r="X19" s="624">
        <f>IF($B$19="","",VLOOKUP($B$19,個資,12,FALSE))</f>
        <v/>
      </c>
      <c r="Y19" s="626" t="n"/>
      <c r="Z19" s="626" t="n"/>
      <c r="AA19" s="625" t="n"/>
    </row>
    <row r="20" ht="37.5" customFormat="1" customHeight="1" s="92">
      <c r="B20" s="630" t="n"/>
      <c r="C20" s="631" t="n"/>
      <c r="D20" s="631" t="n"/>
      <c r="E20" s="632" t="n"/>
      <c r="F20" s="633" t="inlineStr">
        <is>
          <t>住居所</t>
        </is>
      </c>
      <c r="G20" s="626" t="n"/>
      <c r="H20" s="626" t="n"/>
      <c r="I20" s="625" t="n"/>
      <c r="J20" s="643">
        <f>IF($B$19="","",VLOOKUP($B$19,個資,6,FALSE))</f>
        <v/>
      </c>
      <c r="K20" s="626" t="n"/>
      <c r="L20" s="626" t="n"/>
      <c r="M20" s="626" t="n"/>
      <c r="N20" s="626" t="n"/>
      <c r="O20" s="626" t="n"/>
      <c r="P20" s="626" t="n"/>
      <c r="Q20" s="626" t="n"/>
      <c r="R20" s="626" t="n"/>
      <c r="S20" s="626" t="n"/>
      <c r="T20" s="626" t="n"/>
      <c r="U20" s="626" t="n"/>
      <c r="V20" s="626" t="n"/>
      <c r="W20" s="626" t="n"/>
      <c r="X20" s="626" t="n"/>
      <c r="Y20" s="626" t="n"/>
      <c r="Z20" s="626" t="n"/>
      <c r="AA20" s="625" t="n"/>
    </row>
    <row r="21" ht="18.75" customFormat="1" customHeight="1" s="92">
      <c r="B21" s="633" t="inlineStr">
        <is>
          <t>關係人</t>
        </is>
      </c>
      <c r="C21" s="628" t="n"/>
      <c r="D21" s="628" t="n"/>
      <c r="E21" s="629" t="n"/>
      <c r="F21" s="633" t="inlineStr">
        <is>
          <t>性別</t>
        </is>
      </c>
      <c r="G21" s="629" t="n"/>
      <c r="H21" s="633" t="inlineStr">
        <is>
          <t>年齡</t>
        </is>
      </c>
      <c r="I21" s="629" t="n"/>
      <c r="J21" s="633" t="inlineStr">
        <is>
          <t>出生日期</t>
        </is>
      </c>
      <c r="K21" s="628" t="n"/>
      <c r="L21" s="628" t="n"/>
      <c r="M21" s="629" t="n"/>
      <c r="N21" s="633" t="inlineStr">
        <is>
          <t>職業</t>
        </is>
      </c>
      <c r="O21" s="629" t="n"/>
      <c r="P21" s="633" t="inlineStr">
        <is>
          <t>出生地</t>
        </is>
      </c>
      <c r="Q21" s="628" t="n"/>
      <c r="R21" s="629" t="n"/>
      <c r="S21" s="627">
        <f>CONCATENATE("身分證",CHAR(10),"統一編號")</f>
        <v/>
      </c>
      <c r="T21" s="628" t="n"/>
      <c r="U21" s="628" t="n"/>
      <c r="V21" s="628" t="n"/>
      <c r="W21" s="629" t="n"/>
      <c r="X21" s="651" t="inlineStr">
        <is>
          <t>何　　種
關　　係</t>
        </is>
      </c>
      <c r="Y21" s="628" t="n"/>
      <c r="Z21" s="628" t="n"/>
      <c r="AA21" s="629" t="n"/>
    </row>
    <row r="22" ht="18.75" customFormat="1" customHeight="1" s="92">
      <c r="B22" s="630" t="n"/>
      <c r="C22" s="631" t="n"/>
      <c r="D22" s="631" t="n"/>
      <c r="E22" s="632" t="n"/>
      <c r="F22" s="630" t="n"/>
      <c r="G22" s="632" t="n"/>
      <c r="H22" s="630" t="n"/>
      <c r="I22" s="632" t="n"/>
      <c r="J22" s="630" t="n"/>
      <c r="K22" s="631" t="n"/>
      <c r="L22" s="631" t="n"/>
      <c r="M22" s="632" t="n"/>
      <c r="N22" s="630" t="n"/>
      <c r="O22" s="632" t="n"/>
      <c r="P22" s="630" t="n"/>
      <c r="Q22" s="631" t="n"/>
      <c r="R22" s="632" t="n"/>
      <c r="S22" s="630" t="n"/>
      <c r="T22" s="631" t="n"/>
      <c r="U22" s="631" t="n"/>
      <c r="V22" s="631" t="n"/>
      <c r="W22" s="632" t="n"/>
      <c r="X22" s="630" t="n"/>
      <c r="Y22" s="631" t="n"/>
      <c r="Z22" s="631" t="n"/>
      <c r="AA22" s="632" t="n"/>
    </row>
    <row r="23" ht="37.5" customFormat="1" customHeight="1" s="92">
      <c r="B23" s="624" t="n"/>
      <c r="C23" s="628" t="n"/>
      <c r="D23" s="628" t="n"/>
      <c r="E23" s="629" t="n"/>
      <c r="F23" s="624">
        <f>IFERROR(IF($B$23="","",VLOOKUP($B$23,個資,11,FALSE)),"")</f>
        <v/>
      </c>
      <c r="G23" s="625" t="n"/>
      <c r="H23" s="624">
        <f>IFERROR(IF($B$23="","",VLOOKUP($B$23,個資,10,FALSE)),"")</f>
        <v/>
      </c>
      <c r="I23" s="625" t="n"/>
      <c r="J23" s="656">
        <f>IF($B$23="","",VLOOKUP($B$23,個資,16,FALSE))</f>
        <v/>
      </c>
      <c r="K23" s="626" t="n"/>
      <c r="L23" s="626" t="n"/>
      <c r="M23" s="625" t="n"/>
      <c r="N23" s="624">
        <f>IF($B$23="","",VLOOKUP($B$23,個資,8,FALSE))</f>
        <v/>
      </c>
      <c r="O23" s="625" t="n"/>
      <c r="P23" s="624">
        <f>IF($B$23="","",VLOOKUP($B$23,個資,3,FALSE))</f>
        <v/>
      </c>
      <c r="Q23" s="626" t="n"/>
      <c r="R23" s="625" t="n"/>
      <c r="S23" s="624">
        <f>IF($B$23="","",UPPER(VLOOKUP($B$23,個資,2,FALSE)))</f>
        <v/>
      </c>
      <c r="T23" s="626" t="n"/>
      <c r="U23" s="626" t="n"/>
      <c r="V23" s="626" t="n"/>
      <c r="W23" s="625" t="n"/>
      <c r="X23" s="624">
        <f>IF($B$23="","",VLOOKUP($B$23,個資,12,FALSE))</f>
        <v/>
      </c>
      <c r="Y23" s="626" t="n"/>
      <c r="Z23" s="626" t="n"/>
      <c r="AA23" s="625" t="n"/>
    </row>
    <row r="24" ht="37.5" customFormat="1" customHeight="1" s="92">
      <c r="B24" s="630" t="n"/>
      <c r="C24" s="631" t="n"/>
      <c r="D24" s="631" t="n"/>
      <c r="E24" s="632" t="n"/>
      <c r="F24" s="633" t="inlineStr">
        <is>
          <t>住居所</t>
        </is>
      </c>
      <c r="G24" s="626" t="n"/>
      <c r="H24" s="626" t="n"/>
      <c r="I24" s="625" t="n"/>
      <c r="J24" s="643">
        <f>IF($B$23="","",VLOOKUP($B$23,個資,6,FALSE))</f>
        <v/>
      </c>
      <c r="K24" s="626" t="n"/>
      <c r="L24" s="626" t="n"/>
      <c r="M24" s="626" t="n"/>
      <c r="N24" s="626" t="n"/>
      <c r="O24" s="626" t="n"/>
      <c r="P24" s="626" t="n"/>
      <c r="Q24" s="626" t="n"/>
      <c r="R24" s="626" t="n"/>
      <c r="S24" s="626" t="n"/>
      <c r="T24" s="626" t="n"/>
      <c r="U24" s="626" t="n"/>
      <c r="V24" s="626" t="n"/>
      <c r="W24" s="626" t="n"/>
      <c r="X24" s="626" t="n"/>
      <c r="Y24" s="626" t="n"/>
      <c r="Z24" s="626" t="n"/>
      <c r="AA24" s="625" t="n"/>
    </row>
    <row r="25" ht="18.75" customFormat="1" customHeight="1" s="92">
      <c r="B25" s="633" t="inlineStr">
        <is>
          <t>關係人</t>
        </is>
      </c>
      <c r="C25" s="628" t="n"/>
      <c r="D25" s="628" t="n"/>
      <c r="E25" s="629" t="n"/>
      <c r="F25" s="633" t="inlineStr">
        <is>
          <t>性別</t>
        </is>
      </c>
      <c r="G25" s="629" t="n"/>
      <c r="H25" s="633" t="inlineStr">
        <is>
          <t>年齡</t>
        </is>
      </c>
      <c r="I25" s="629" t="n"/>
      <c r="J25" s="633" t="inlineStr">
        <is>
          <t>出生日期</t>
        </is>
      </c>
      <c r="K25" s="628" t="n"/>
      <c r="L25" s="628" t="n"/>
      <c r="M25" s="629" t="n"/>
      <c r="N25" s="633" t="inlineStr">
        <is>
          <t>職業</t>
        </is>
      </c>
      <c r="O25" s="629" t="n"/>
      <c r="P25" s="633" t="inlineStr">
        <is>
          <t>出生地</t>
        </is>
      </c>
      <c r="Q25" s="628" t="n"/>
      <c r="R25" s="629" t="n"/>
      <c r="S25" s="627">
        <f>CONCATENATE("身分證",CHAR(10),"統一編號")</f>
        <v/>
      </c>
      <c r="T25" s="628" t="n"/>
      <c r="U25" s="628" t="n"/>
      <c r="V25" s="628" t="n"/>
      <c r="W25" s="629" t="n"/>
      <c r="X25" s="651" t="inlineStr">
        <is>
          <t>何　　種
關　　係</t>
        </is>
      </c>
      <c r="Y25" s="628" t="n"/>
      <c r="Z25" s="628" t="n"/>
      <c r="AA25" s="629" t="n"/>
    </row>
    <row r="26" ht="18.75" customFormat="1" customHeight="1" s="92">
      <c r="B26" s="630" t="n"/>
      <c r="C26" s="631" t="n"/>
      <c r="D26" s="631" t="n"/>
      <c r="E26" s="632" t="n"/>
      <c r="F26" s="630" t="n"/>
      <c r="G26" s="632" t="n"/>
      <c r="H26" s="630" t="n"/>
      <c r="I26" s="632" t="n"/>
      <c r="J26" s="630" t="n"/>
      <c r="K26" s="631" t="n"/>
      <c r="L26" s="631" t="n"/>
      <c r="M26" s="632" t="n"/>
      <c r="N26" s="630" t="n"/>
      <c r="O26" s="632" t="n"/>
      <c r="P26" s="630" t="n"/>
      <c r="Q26" s="631" t="n"/>
      <c r="R26" s="632" t="n"/>
      <c r="S26" s="630" t="n"/>
      <c r="T26" s="631" t="n"/>
      <c r="U26" s="631" t="n"/>
      <c r="V26" s="631" t="n"/>
      <c r="W26" s="632" t="n"/>
      <c r="X26" s="630" t="n"/>
      <c r="Y26" s="631" t="n"/>
      <c r="Z26" s="631" t="n"/>
      <c r="AA26" s="632" t="n"/>
    </row>
    <row r="27" ht="37.5" customFormat="1" customHeight="1" s="92">
      <c r="B27" s="624" t="n"/>
      <c r="C27" s="628" t="n"/>
      <c r="D27" s="628" t="n"/>
      <c r="E27" s="629" t="n"/>
      <c r="F27" s="624">
        <f>IFERROR(IF($B$27="","",VLOOKUP($B$27,個資,11,FALSE)),"")</f>
        <v/>
      </c>
      <c r="G27" s="625" t="n"/>
      <c r="H27" s="624">
        <f>IFERROR(IF($B$27="","",VLOOKUP($B$27,個資,10,FALSE)),"")</f>
        <v/>
      </c>
      <c r="I27" s="625" t="n"/>
      <c r="J27" s="656">
        <f>IF($B$27="","",VLOOKUP($B$27,個資,16,FALSE))</f>
        <v/>
      </c>
      <c r="K27" s="626" t="n"/>
      <c r="L27" s="626" t="n"/>
      <c r="M27" s="625" t="n"/>
      <c r="N27" s="624">
        <f>IF($B$27="","",VLOOKUP($B$27,個資,8,FALSE))</f>
        <v/>
      </c>
      <c r="O27" s="625" t="n"/>
      <c r="P27" s="624">
        <f>IF($B$27="","",VLOOKUP($B$27,個資,3,FALSE))</f>
        <v/>
      </c>
      <c r="Q27" s="626" t="n"/>
      <c r="R27" s="625" t="n"/>
      <c r="S27" s="624">
        <f>IF($B$27="","",UPPER(VLOOKUP($B$27,個資,2,FALSE)))</f>
        <v/>
      </c>
      <c r="T27" s="626" t="n"/>
      <c r="U27" s="626" t="n"/>
      <c r="V27" s="626" t="n"/>
      <c r="W27" s="625" t="n"/>
      <c r="X27" s="624">
        <f>IF($B$27="","",VLOOKUP($B$27,個資,12,FALSE))</f>
        <v/>
      </c>
      <c r="Y27" s="626" t="n"/>
      <c r="Z27" s="626" t="n"/>
      <c r="AA27" s="625" t="n"/>
    </row>
    <row r="28" ht="37.5" customFormat="1" customHeight="1" s="92">
      <c r="B28" s="630" t="n"/>
      <c r="C28" s="631" t="n"/>
      <c r="D28" s="631" t="n"/>
      <c r="E28" s="632" t="n"/>
      <c r="F28" s="633" t="inlineStr">
        <is>
          <t>住居所</t>
        </is>
      </c>
      <c r="G28" s="626" t="n"/>
      <c r="H28" s="626" t="n"/>
      <c r="I28" s="625" t="n"/>
      <c r="J28" s="643">
        <f>IF($B$27="","",VLOOKUP($B$27,個資,6,FALSE))</f>
        <v/>
      </c>
      <c r="K28" s="626" t="n"/>
      <c r="L28" s="626" t="n"/>
      <c r="M28" s="626" t="n"/>
      <c r="N28" s="626" t="n"/>
      <c r="O28" s="626" t="n"/>
      <c r="P28" s="626" t="n"/>
      <c r="Q28" s="626" t="n"/>
      <c r="R28" s="626" t="n"/>
      <c r="S28" s="626" t="n"/>
      <c r="T28" s="626" t="n"/>
      <c r="U28" s="626" t="n"/>
      <c r="V28" s="626" t="n"/>
      <c r="W28" s="626" t="n"/>
      <c r="X28" s="626" t="n"/>
      <c r="Y28" s="626" t="n"/>
      <c r="Z28" s="626" t="n"/>
      <c r="AA28" s="625" t="n"/>
    </row>
    <row r="29" ht="36.75" customFormat="1" customHeight="1" s="92">
      <c r="B29" s="928" t="n"/>
      <c r="C29" s="626" t="n"/>
      <c r="D29" s="626" t="n"/>
      <c r="E29" s="626" t="n"/>
      <c r="F29" s="626" t="n"/>
      <c r="G29" s="626" t="n"/>
      <c r="H29" s="626" t="n"/>
      <c r="I29" s="626" t="n"/>
      <c r="J29" s="626" t="n"/>
      <c r="K29" s="626" t="n"/>
      <c r="L29" s="626" t="n"/>
      <c r="M29" s="626" t="n"/>
      <c r="N29" s="626" t="n"/>
      <c r="O29" s="626" t="n"/>
      <c r="P29" s="626" t="n"/>
      <c r="Q29" s="626" t="n"/>
      <c r="R29" s="626" t="n"/>
      <c r="S29" s="626" t="n"/>
      <c r="T29" s="626" t="n"/>
      <c r="U29" s="626" t="n"/>
      <c r="V29" s="626" t="n"/>
      <c r="W29" s="626" t="n"/>
      <c r="X29" s="626" t="n"/>
      <c r="Y29" s="626" t="n"/>
      <c r="Z29" s="626" t="n"/>
      <c r="AA29" s="626" t="n"/>
    </row>
    <row r="30" ht="28.5" customFormat="1" customHeight="1" s="92">
      <c r="B30" s="633" t="inlineStr">
        <is>
          <t>關係人</t>
        </is>
      </c>
      <c r="C30" s="628" t="n"/>
      <c r="D30" s="628" t="n"/>
      <c r="E30" s="629" t="n"/>
      <c r="F30" s="633" t="inlineStr">
        <is>
          <t>性別</t>
        </is>
      </c>
      <c r="G30" s="629" t="n"/>
      <c r="H30" s="633" t="inlineStr">
        <is>
          <t>年齡</t>
        </is>
      </c>
      <c r="I30" s="629" t="n"/>
      <c r="J30" s="633" t="inlineStr">
        <is>
          <t>出生日期</t>
        </is>
      </c>
      <c r="K30" s="628" t="n"/>
      <c r="L30" s="628" t="n"/>
      <c r="M30" s="629" t="n"/>
      <c r="N30" s="633" t="inlineStr">
        <is>
          <t>職業</t>
        </is>
      </c>
      <c r="O30" s="629" t="n"/>
      <c r="P30" s="633" t="inlineStr">
        <is>
          <t>出生地</t>
        </is>
      </c>
      <c r="Q30" s="628" t="n"/>
      <c r="R30" s="629" t="n"/>
      <c r="S30" s="627">
        <f>CONCATENATE("身分證",CHAR(10),"統一編號")</f>
        <v/>
      </c>
      <c r="T30" s="628" t="n"/>
      <c r="U30" s="628" t="n"/>
      <c r="V30" s="628" t="n"/>
      <c r="W30" s="629" t="n"/>
      <c r="X30" s="651" t="inlineStr">
        <is>
          <t>何　　種
關　　係</t>
        </is>
      </c>
      <c r="Y30" s="628" t="n"/>
      <c r="Z30" s="628" t="n"/>
      <c r="AA30" s="629" t="n"/>
    </row>
    <row r="31" ht="18.75" customFormat="1" customHeight="1" s="92">
      <c r="B31" s="630" t="n"/>
      <c r="C31" s="631" t="n"/>
      <c r="D31" s="631" t="n"/>
      <c r="E31" s="632" t="n"/>
      <c r="F31" s="630" t="n"/>
      <c r="G31" s="632" t="n"/>
      <c r="H31" s="630" t="n"/>
      <c r="I31" s="632" t="n"/>
      <c r="J31" s="630" t="n"/>
      <c r="K31" s="631" t="n"/>
      <c r="L31" s="631" t="n"/>
      <c r="M31" s="632" t="n"/>
      <c r="N31" s="630" t="n"/>
      <c r="O31" s="632" t="n"/>
      <c r="P31" s="630" t="n"/>
      <c r="Q31" s="631" t="n"/>
      <c r="R31" s="632" t="n"/>
      <c r="S31" s="630" t="n"/>
      <c r="T31" s="631" t="n"/>
      <c r="U31" s="631" t="n"/>
      <c r="V31" s="631" t="n"/>
      <c r="W31" s="632" t="n"/>
      <c r="X31" s="630" t="n"/>
      <c r="Y31" s="631" t="n"/>
      <c r="Z31" s="631" t="n"/>
      <c r="AA31" s="632" t="n"/>
    </row>
    <row r="32" ht="37.5" customFormat="1" customHeight="1" s="92">
      <c r="B32" s="624" t="n"/>
      <c r="C32" s="628" t="n"/>
      <c r="D32" s="628" t="n"/>
      <c r="E32" s="629" t="n"/>
      <c r="F32" s="624">
        <f>IFERROR(IF($B$32="","",VLOOKUP($B$32,個資,11,FALSE)),"")</f>
        <v/>
      </c>
      <c r="G32" s="625" t="n"/>
      <c r="H32" s="624">
        <f>IFERROR(IF($B$32="","",VLOOKUP($B$32,個資,10,FALSE)),"")</f>
        <v/>
      </c>
      <c r="I32" s="625" t="n"/>
      <c r="J32" s="656">
        <f>IF($B$32="","",VLOOKUP($B$32,個資,16,FALSE))</f>
        <v/>
      </c>
      <c r="K32" s="626" t="n"/>
      <c r="L32" s="626" t="n"/>
      <c r="M32" s="625" t="n"/>
      <c r="N32" s="624">
        <f>IF($B$32="","",VLOOKUP($B$32,個資,8,FALSE))</f>
        <v/>
      </c>
      <c r="O32" s="625" t="n"/>
      <c r="P32" s="624">
        <f>IF($B$32="","",VLOOKUP($B$32,個資,3,FALSE))</f>
        <v/>
      </c>
      <c r="Q32" s="626" t="n"/>
      <c r="R32" s="625" t="n"/>
      <c r="S32" s="624">
        <f>IF($B$32="","",UPPER(VLOOKUP($B$32,個資,2,FALSE)))</f>
        <v/>
      </c>
      <c r="T32" s="626" t="n"/>
      <c r="U32" s="626" t="n"/>
      <c r="V32" s="626" t="n"/>
      <c r="W32" s="625" t="n"/>
      <c r="X32" s="624">
        <f>IF($B$32="","",VLOOKUP($B$32,個資,12,FALSE))</f>
        <v/>
      </c>
      <c r="Y32" s="626" t="n"/>
      <c r="Z32" s="626" t="n"/>
      <c r="AA32" s="625" t="n"/>
    </row>
    <row r="33" ht="37.5" customFormat="1" customHeight="1" s="92">
      <c r="B33" s="630" t="n"/>
      <c r="C33" s="631" t="n"/>
      <c r="D33" s="631" t="n"/>
      <c r="E33" s="632" t="n"/>
      <c r="F33" s="633" t="inlineStr">
        <is>
          <t>住居所</t>
        </is>
      </c>
      <c r="G33" s="626" t="n"/>
      <c r="H33" s="626" t="n"/>
      <c r="I33" s="625" t="n"/>
      <c r="J33" s="643">
        <f>IF($B$32="","",VLOOKUP($B$32,個資,6,FALSE))</f>
        <v/>
      </c>
      <c r="K33" s="626" t="n"/>
      <c r="L33" s="626" t="n"/>
      <c r="M33" s="626" t="n"/>
      <c r="N33" s="626" t="n"/>
      <c r="O33" s="626" t="n"/>
      <c r="P33" s="626" t="n"/>
      <c r="Q33" s="626" t="n"/>
      <c r="R33" s="626" t="n"/>
      <c r="S33" s="626" t="n"/>
      <c r="T33" s="626" t="n"/>
      <c r="U33" s="626" t="n"/>
      <c r="V33" s="626" t="n"/>
      <c r="W33" s="626" t="n"/>
      <c r="X33" s="626" t="n"/>
      <c r="Y33" s="626" t="n"/>
      <c r="Z33" s="626" t="n"/>
      <c r="AA33" s="625" t="n"/>
    </row>
    <row r="34" ht="18.75" customFormat="1" customHeight="1" s="92">
      <c r="B34" s="633" t="inlineStr">
        <is>
          <t>關係人</t>
        </is>
      </c>
      <c r="C34" s="628" t="n"/>
      <c r="D34" s="628" t="n"/>
      <c r="E34" s="629" t="n"/>
      <c r="F34" s="633" t="inlineStr">
        <is>
          <t>性別</t>
        </is>
      </c>
      <c r="G34" s="629" t="n"/>
      <c r="H34" s="633" t="inlineStr">
        <is>
          <t>年齡</t>
        </is>
      </c>
      <c r="I34" s="629" t="n"/>
      <c r="J34" s="633" t="inlineStr">
        <is>
          <t>出生日期</t>
        </is>
      </c>
      <c r="K34" s="628" t="n"/>
      <c r="L34" s="628" t="n"/>
      <c r="M34" s="629" t="n"/>
      <c r="N34" s="633" t="inlineStr">
        <is>
          <t>職業</t>
        </is>
      </c>
      <c r="O34" s="629" t="n"/>
      <c r="P34" s="633" t="inlineStr">
        <is>
          <t>出生地</t>
        </is>
      </c>
      <c r="Q34" s="628" t="n"/>
      <c r="R34" s="629" t="n"/>
      <c r="S34" s="627">
        <f>CONCATENATE("身分證",CHAR(10),"統一編號")</f>
        <v/>
      </c>
      <c r="T34" s="628" t="n"/>
      <c r="U34" s="628" t="n"/>
      <c r="V34" s="628" t="n"/>
      <c r="W34" s="629" t="n"/>
      <c r="X34" s="651" t="inlineStr">
        <is>
          <t>何　　種
關　　係</t>
        </is>
      </c>
      <c r="Y34" s="628" t="n"/>
      <c r="Z34" s="628" t="n"/>
      <c r="AA34" s="629" t="n"/>
    </row>
    <row r="35" ht="18.75" customFormat="1" customHeight="1" s="92">
      <c r="B35" s="630" t="n"/>
      <c r="C35" s="631" t="n"/>
      <c r="D35" s="631" t="n"/>
      <c r="E35" s="632" t="n"/>
      <c r="F35" s="630" t="n"/>
      <c r="G35" s="632" t="n"/>
      <c r="H35" s="630" t="n"/>
      <c r="I35" s="632" t="n"/>
      <c r="J35" s="630" t="n"/>
      <c r="K35" s="631" t="n"/>
      <c r="L35" s="631" t="n"/>
      <c r="M35" s="632" t="n"/>
      <c r="N35" s="630" t="n"/>
      <c r="O35" s="632" t="n"/>
      <c r="P35" s="630" t="n"/>
      <c r="Q35" s="631" t="n"/>
      <c r="R35" s="632" t="n"/>
      <c r="S35" s="630" t="n"/>
      <c r="T35" s="631" t="n"/>
      <c r="U35" s="631" t="n"/>
      <c r="V35" s="631" t="n"/>
      <c r="W35" s="632" t="n"/>
      <c r="X35" s="630" t="n"/>
      <c r="Y35" s="631" t="n"/>
      <c r="Z35" s="631" t="n"/>
      <c r="AA35" s="632" t="n"/>
    </row>
    <row r="36" ht="37.5" customFormat="1" customHeight="1" s="92">
      <c r="B36" s="624" t="n"/>
      <c r="C36" s="628" t="n"/>
      <c r="D36" s="628" t="n"/>
      <c r="E36" s="629" t="n"/>
      <c r="F36" s="624">
        <f>IFERROR(IF($B$36="","",VLOOKUP($B$36,個資,11,FALSE)),"")</f>
        <v/>
      </c>
      <c r="G36" s="625" t="n"/>
      <c r="H36" s="624">
        <f>IFERROR(IF($B$36="","",VLOOKUP($B$36,個資,10,FALSE)),"")</f>
        <v/>
      </c>
      <c r="I36" s="625" t="n"/>
      <c r="J36" s="656">
        <f>IF($B$36="","",VLOOKUP($B$36,個資,16,FALSE))</f>
        <v/>
      </c>
      <c r="K36" s="626" t="n"/>
      <c r="L36" s="626" t="n"/>
      <c r="M36" s="625" t="n"/>
      <c r="N36" s="624">
        <f>IF($B$36="","",VLOOKUP($B$36,個資,8,FALSE))</f>
        <v/>
      </c>
      <c r="O36" s="625" t="n"/>
      <c r="P36" s="624">
        <f>IF($B$36="","",VLOOKUP($B$36,個資,3,FALSE))</f>
        <v/>
      </c>
      <c r="Q36" s="626" t="n"/>
      <c r="R36" s="625" t="n"/>
      <c r="S36" s="624">
        <f>IF($B$36="","",UPPER(VLOOKUP($B$36,個資,2,FALSE)))</f>
        <v/>
      </c>
      <c r="T36" s="626" t="n"/>
      <c r="U36" s="626" t="n"/>
      <c r="V36" s="626" t="n"/>
      <c r="W36" s="625" t="n"/>
      <c r="X36" s="624">
        <f>IF($B$36="","",VLOOKUP($B$36,個資,12,FALSE))</f>
        <v/>
      </c>
      <c r="Y36" s="626" t="n"/>
      <c r="Z36" s="626" t="n"/>
      <c r="AA36" s="625" t="n"/>
    </row>
    <row r="37" ht="37.5" customFormat="1" customHeight="1" s="92">
      <c r="B37" s="630" t="n"/>
      <c r="C37" s="631" t="n"/>
      <c r="D37" s="631" t="n"/>
      <c r="E37" s="632" t="n"/>
      <c r="F37" s="633" t="inlineStr">
        <is>
          <t>住居所</t>
        </is>
      </c>
      <c r="G37" s="626" t="n"/>
      <c r="H37" s="626" t="n"/>
      <c r="I37" s="625" t="n"/>
      <c r="J37" s="643">
        <f>IF($B$36="","",VLOOKUP($B$36,個資,6,FALSE))</f>
        <v/>
      </c>
      <c r="K37" s="626" t="n"/>
      <c r="L37" s="626" t="n"/>
      <c r="M37" s="626" t="n"/>
      <c r="N37" s="626" t="n"/>
      <c r="O37" s="626" t="n"/>
      <c r="P37" s="626" t="n"/>
      <c r="Q37" s="626" t="n"/>
      <c r="R37" s="626" t="n"/>
      <c r="S37" s="626" t="n"/>
      <c r="T37" s="626" t="n"/>
      <c r="U37" s="626" t="n"/>
      <c r="V37" s="626" t="n"/>
      <c r="W37" s="626" t="n"/>
      <c r="X37" s="626" t="n"/>
      <c r="Y37" s="626" t="n"/>
      <c r="Z37" s="626" t="n"/>
      <c r="AA37" s="625" t="n"/>
    </row>
    <row r="38" ht="18.75" customFormat="1" customHeight="1" s="92">
      <c r="B38" s="633" t="inlineStr">
        <is>
          <t>關係人</t>
        </is>
      </c>
      <c r="C38" s="628" t="n"/>
      <c r="D38" s="628" t="n"/>
      <c r="E38" s="629" t="n"/>
      <c r="F38" s="633" t="inlineStr">
        <is>
          <t>性別</t>
        </is>
      </c>
      <c r="G38" s="629" t="n"/>
      <c r="H38" s="633" t="inlineStr">
        <is>
          <t>年齡</t>
        </is>
      </c>
      <c r="I38" s="629" t="n"/>
      <c r="J38" s="633" t="inlineStr">
        <is>
          <t>出生日期</t>
        </is>
      </c>
      <c r="K38" s="628" t="n"/>
      <c r="L38" s="628" t="n"/>
      <c r="M38" s="629" t="n"/>
      <c r="N38" s="633" t="inlineStr">
        <is>
          <t>職業</t>
        </is>
      </c>
      <c r="O38" s="629" t="n"/>
      <c r="P38" s="633" t="inlineStr">
        <is>
          <t>出生地</t>
        </is>
      </c>
      <c r="Q38" s="628" t="n"/>
      <c r="R38" s="629" t="n"/>
      <c r="S38" s="627">
        <f>CONCATENATE("身分證",CHAR(10),"統一編號")</f>
        <v/>
      </c>
      <c r="T38" s="628" t="n"/>
      <c r="U38" s="628" t="n"/>
      <c r="V38" s="628" t="n"/>
      <c r="W38" s="629" t="n"/>
      <c r="X38" s="651" t="inlineStr">
        <is>
          <t>何　　種
關　　係</t>
        </is>
      </c>
      <c r="Y38" s="628" t="n"/>
      <c r="Z38" s="628" t="n"/>
      <c r="AA38" s="629" t="n"/>
    </row>
    <row r="39" ht="18.75" customFormat="1" customHeight="1" s="92">
      <c r="B39" s="630" t="n"/>
      <c r="C39" s="631" t="n"/>
      <c r="D39" s="631" t="n"/>
      <c r="E39" s="632" t="n"/>
      <c r="F39" s="630" t="n"/>
      <c r="G39" s="632" t="n"/>
      <c r="H39" s="630" t="n"/>
      <c r="I39" s="632" t="n"/>
      <c r="J39" s="630" t="n"/>
      <c r="K39" s="631" t="n"/>
      <c r="L39" s="631" t="n"/>
      <c r="M39" s="632" t="n"/>
      <c r="N39" s="630" t="n"/>
      <c r="O39" s="632" t="n"/>
      <c r="P39" s="630" t="n"/>
      <c r="Q39" s="631" t="n"/>
      <c r="R39" s="632" t="n"/>
      <c r="S39" s="630" t="n"/>
      <c r="T39" s="631" t="n"/>
      <c r="U39" s="631" t="n"/>
      <c r="V39" s="631" t="n"/>
      <c r="W39" s="632" t="n"/>
      <c r="X39" s="630" t="n"/>
      <c r="Y39" s="631" t="n"/>
      <c r="Z39" s="631" t="n"/>
      <c r="AA39" s="632" t="n"/>
    </row>
    <row r="40" ht="37.5" customFormat="1" customHeight="1" s="92">
      <c r="B40" s="624" t="n"/>
      <c r="C40" s="628" t="n"/>
      <c r="D40" s="628" t="n"/>
      <c r="E40" s="629" t="n"/>
      <c r="F40" s="624">
        <f>IFERROR(IF($B$40="","",VLOOKUP($B$40,個資,11,FALSE)),"")</f>
        <v/>
      </c>
      <c r="G40" s="625" t="n"/>
      <c r="H40" s="624">
        <f>IFERROR(IF($B$40="","",VLOOKUP($B$40,個資,10,FALSE)),"")</f>
        <v/>
      </c>
      <c r="I40" s="625" t="n"/>
      <c r="J40" s="656">
        <f>IF($B$40="","",VLOOKUP($B$40,個資,16,FALSE))</f>
        <v/>
      </c>
      <c r="K40" s="626" t="n"/>
      <c r="L40" s="626" t="n"/>
      <c r="M40" s="625" t="n"/>
      <c r="N40" s="624">
        <f>IF($B$40="","",VLOOKUP($B$40,個資,8,FALSE))</f>
        <v/>
      </c>
      <c r="O40" s="625" t="n"/>
      <c r="P40" s="624">
        <f>IF($B$40="","",VLOOKUP($B$40,個資,3,FALSE))</f>
        <v/>
      </c>
      <c r="Q40" s="626" t="n"/>
      <c r="R40" s="625" t="n"/>
      <c r="S40" s="624">
        <f>IF($B$40="","",UPPER(VLOOKUP($B$40,個資,2,FALSE)))</f>
        <v/>
      </c>
      <c r="T40" s="626" t="n"/>
      <c r="U40" s="626" t="n"/>
      <c r="V40" s="626" t="n"/>
      <c r="W40" s="625" t="n"/>
      <c r="X40" s="624">
        <f>IF($B$40="","",VLOOKUP($B$40,個資,12,FALSE))</f>
        <v/>
      </c>
      <c r="Y40" s="626" t="n"/>
      <c r="Z40" s="626" t="n"/>
      <c r="AA40" s="625" t="n"/>
    </row>
    <row r="41" ht="37.5" customFormat="1" customHeight="1" s="92">
      <c r="B41" s="630" t="n"/>
      <c r="C41" s="631" t="n"/>
      <c r="D41" s="631" t="n"/>
      <c r="E41" s="632" t="n"/>
      <c r="F41" s="633" t="inlineStr">
        <is>
          <t>住居所</t>
        </is>
      </c>
      <c r="G41" s="626" t="n"/>
      <c r="H41" s="626" t="n"/>
      <c r="I41" s="625" t="n"/>
      <c r="J41" s="643">
        <f>IF($B$40="","",VLOOKUP($B$40,個資,6,FALSE))</f>
        <v/>
      </c>
      <c r="K41" s="626" t="n"/>
      <c r="L41" s="626" t="n"/>
      <c r="M41" s="626" t="n"/>
      <c r="N41" s="626" t="n"/>
      <c r="O41" s="626" t="n"/>
      <c r="P41" s="626" t="n"/>
      <c r="Q41" s="626" t="n"/>
      <c r="R41" s="626" t="n"/>
      <c r="S41" s="626" t="n"/>
      <c r="T41" s="626" t="n"/>
      <c r="U41" s="626" t="n"/>
      <c r="V41" s="626" t="n"/>
      <c r="W41" s="626" t="n"/>
      <c r="X41" s="626" t="n"/>
      <c r="Y41" s="626" t="n"/>
      <c r="Z41" s="626" t="n"/>
      <c r="AA41" s="625" t="n"/>
    </row>
    <row r="42" ht="37.5" customHeight="1" s="683">
      <c r="B42" s="633" t="inlineStr">
        <is>
          <t>查獲時間</t>
        </is>
      </c>
      <c r="C42" s="626" t="n"/>
      <c r="D42" s="626" t="n"/>
      <c r="E42" s="625" t="n"/>
      <c r="F42" s="436" t="n"/>
      <c r="G42" s="1327">
        <f>IF(ISBLANK(輸入!$C$11),下拉用!$J$13,下拉用!$J$12)</f>
        <v/>
      </c>
      <c r="H42" s="626" t="n"/>
      <c r="I42" s="626" t="n"/>
      <c r="J42" s="626" t="n"/>
      <c r="K42" s="626" t="n"/>
      <c r="L42" s="626" t="n"/>
      <c r="M42" s="626" t="n"/>
      <c r="N42" s="626" t="n"/>
      <c r="O42" s="626" t="n"/>
      <c r="P42" s="626" t="n"/>
      <c r="Q42" s="626" t="n"/>
      <c r="R42" s="626" t="n"/>
      <c r="S42" s="626" t="n"/>
      <c r="T42" s="626" t="n"/>
      <c r="U42" s="626" t="n"/>
      <c r="V42" s="455" t="n"/>
      <c r="W42" s="455" t="n"/>
      <c r="X42" s="455" t="n"/>
      <c r="Y42" s="455" t="n"/>
      <c r="Z42" s="455" t="n"/>
      <c r="AA42" s="454" t="n"/>
    </row>
    <row r="43" ht="37.5" customHeight="1" s="683">
      <c r="B43" s="633" t="inlineStr">
        <is>
          <t>查獲地點</t>
        </is>
      </c>
      <c r="C43" s="626" t="n"/>
      <c r="D43" s="626" t="n"/>
      <c r="E43" s="625" t="n"/>
      <c r="F43" s="27" t="n"/>
      <c r="G43" s="638">
        <f>IF(ISBLANK(輸入!$C$13),輸入!$S$23,輸入!$C$13)</f>
        <v/>
      </c>
      <c r="H43" s="626" t="n"/>
      <c r="I43" s="626" t="n"/>
      <c r="J43" s="626" t="n"/>
      <c r="K43" s="626" t="n"/>
      <c r="L43" s="626" t="n"/>
      <c r="M43" s="626" t="n"/>
      <c r="N43" s="626" t="n"/>
      <c r="O43" s="626" t="n"/>
      <c r="P43" s="626" t="n"/>
      <c r="Q43" s="626" t="n"/>
      <c r="R43" s="626" t="n"/>
      <c r="S43" s="626" t="n"/>
      <c r="T43" s="626" t="n"/>
      <c r="U43" s="626" t="n"/>
      <c r="V43" s="626" t="n"/>
      <c r="W43" s="626" t="n"/>
      <c r="X43" s="626" t="n"/>
      <c r="Y43" s="626" t="n"/>
      <c r="Z43" s="626" t="n"/>
      <c r="AA43" s="625" t="n"/>
    </row>
    <row r="44" ht="37.5" customHeight="1" s="683">
      <c r="B44" s="633" t="inlineStr">
        <is>
          <t>觸犯法條</t>
        </is>
      </c>
      <c r="C44" s="626" t="n"/>
      <c r="D44" s="626" t="n"/>
      <c r="E44" s="625" t="n"/>
      <c r="F44" s="27" t="n"/>
      <c r="G44" s="638">
        <f>IF(輸入!$C$2="通緝",輸入!$H$2&amp;輸入!$C$2,IF(輸入!$C$2="公共危險",輸入!$C$2&amp;" (酒後駕車)",輸入!$C$2))</f>
        <v/>
      </c>
      <c r="H44" s="626" t="n"/>
      <c r="I44" s="626" t="n"/>
      <c r="J44" s="626" t="n"/>
      <c r="K44" s="626" t="n"/>
      <c r="L44" s="626" t="n"/>
      <c r="M44" s="626" t="n"/>
      <c r="N44" s="626" t="n"/>
      <c r="O44" s="626" t="n"/>
      <c r="P44" s="626" t="n"/>
      <c r="Q44" s="626" t="n"/>
      <c r="R44" s="626" t="n"/>
      <c r="S44" s="626" t="n"/>
      <c r="T44" s="626" t="n"/>
      <c r="U44" s="626" t="n"/>
      <c r="V44" s="626" t="n"/>
      <c r="W44" s="626" t="n"/>
      <c r="X44" s="626" t="n"/>
      <c r="Y44" s="626" t="n"/>
      <c r="Z44" s="626" t="n"/>
      <c r="AA44" s="625" t="n"/>
    </row>
    <row r="45" ht="161.25" customHeight="1" s="683">
      <c r="B45" s="633" t="inlineStr">
        <is>
          <t>違反事實</t>
        </is>
      </c>
      <c r="C45" s="626" t="n"/>
      <c r="D45" s="626" t="n"/>
      <c r="E45" s="625" t="n"/>
      <c r="F45" s="644">
        <f>IF(輸入!$C$2="刑事相驗",CONCATENATE(下拉用!$A$2,CHAR(10),下拉用!$H$2,CHAR(10),下拉用!$H$3),呈報單!$F$16)</f>
        <v/>
      </c>
      <c r="G45" s="645" t="n"/>
      <c r="H45" s="645" t="n"/>
      <c r="I45" s="645" t="n"/>
      <c r="J45" s="645" t="n"/>
      <c r="K45" s="645" t="n"/>
      <c r="L45" s="645" t="n"/>
      <c r="M45" s="645" t="n"/>
      <c r="N45" s="645" t="n"/>
      <c r="O45" s="645" t="n"/>
      <c r="P45" s="645" t="n"/>
      <c r="Q45" s="645" t="n"/>
      <c r="R45" s="645" t="n"/>
      <c r="S45" s="645" t="n"/>
      <c r="T45" s="645" t="n"/>
      <c r="U45" s="645" t="n"/>
      <c r="V45" s="645" t="n"/>
      <c r="W45" s="645" t="n"/>
      <c r="X45" s="645" t="n"/>
      <c r="Y45" s="645" t="n"/>
      <c r="Z45" s="645" t="n"/>
      <c r="AA45" s="646" t="n"/>
    </row>
    <row r="46" ht="45" customHeight="1" s="683">
      <c r="B46" s="653" t="inlineStr">
        <is>
          <t>附送刑案</t>
        </is>
      </c>
      <c r="C46" s="628" t="n"/>
      <c r="D46" s="628" t="n"/>
      <c r="E46" s="629" t="n"/>
      <c r="F46" s="652" t="inlineStr">
        <is>
          <t xml:space="preserve">一、警詢筆錄。
二、各式附表。
              </t>
        </is>
      </c>
      <c r="G46" s="628" t="n"/>
      <c r="H46" s="628" t="n"/>
      <c r="I46" s="628" t="n"/>
      <c r="J46" s="628" t="n"/>
      <c r="K46" s="628" t="n"/>
      <c r="L46" s="628" t="n"/>
      <c r="M46" s="628" t="n"/>
      <c r="N46" s="629" t="n"/>
      <c r="O46" s="649" t="inlineStr">
        <is>
          <t>處理員警</t>
        </is>
      </c>
      <c r="P46" s="628" t="n"/>
      <c r="Q46" s="628" t="n"/>
      <c r="R46" s="629" t="n"/>
      <c r="S46" s="927">
        <f>CONCATENATE(輸入!$T$24,"  ",輸入!$O$8)</f>
        <v/>
      </c>
      <c r="T46" s="628" t="n"/>
      <c r="U46" s="628" t="n"/>
      <c r="V46" s="628" t="n"/>
      <c r="W46" s="628" t="n"/>
      <c r="X46" s="628" t="n"/>
      <c r="Y46" s="628" t="n"/>
      <c r="Z46" s="628" t="n"/>
      <c r="AA46" s="629" t="n"/>
    </row>
    <row r="47" ht="45" customHeight="1" s="683">
      <c r="B47" s="642" t="inlineStr">
        <is>
          <t>犯罪證據</t>
        </is>
      </c>
      <c r="C47" s="631" t="n"/>
      <c r="D47" s="631" t="n"/>
      <c r="E47" s="632" t="n"/>
      <c r="F47" s="630" t="n"/>
      <c r="G47" s="631" t="n"/>
      <c r="H47" s="631" t="n"/>
      <c r="I47" s="631" t="n"/>
      <c r="J47" s="631" t="n"/>
      <c r="K47" s="631" t="n"/>
      <c r="L47" s="631" t="n"/>
      <c r="M47" s="631" t="n"/>
      <c r="N47" s="632" t="n"/>
      <c r="O47" s="630" t="n"/>
      <c r="P47" s="631" t="n"/>
      <c r="Q47" s="631" t="n"/>
      <c r="R47" s="632" t="n"/>
      <c r="S47" s="630" t="n"/>
      <c r="T47" s="631" t="n"/>
      <c r="U47" s="631" t="n"/>
      <c r="V47" s="631" t="n"/>
      <c r="W47" s="631" t="n"/>
      <c r="X47" s="631" t="n"/>
      <c r="Y47" s="631" t="n"/>
      <c r="Z47" s="631" t="n"/>
      <c r="AA47" s="632" t="n"/>
    </row>
    <row r="48" ht="13.5" customHeight="1" s="683">
      <c r="B48" s="647" t="n"/>
      <c r="C48" s="628" t="n"/>
      <c r="D48" s="628" t="n"/>
      <c r="E48" s="628" t="n"/>
      <c r="F48" s="628" t="n"/>
      <c r="G48" s="635" t="n"/>
      <c r="H48" s="628" t="n"/>
      <c r="I48" s="628" t="n"/>
      <c r="J48" s="628" t="n"/>
      <c r="K48" s="628" t="n"/>
      <c r="L48" s="628" t="n"/>
      <c r="M48" s="628" t="n"/>
      <c r="N48" s="628" t="n"/>
      <c r="O48" s="628" t="n"/>
      <c r="P48" s="628" t="n"/>
      <c r="Q48" s="628" t="n"/>
      <c r="R48" s="628" t="n"/>
      <c r="S48" s="628" t="n"/>
      <c r="T48" s="628" t="n"/>
      <c r="U48" s="628" t="n"/>
      <c r="V48" s="628" t="n"/>
      <c r="W48" s="628" t="n"/>
      <c r="X48" s="628" t="n"/>
      <c r="Y48" s="628" t="n"/>
      <c r="Z48" s="628" t="n"/>
      <c r="AA48" s="628" t="n"/>
    </row>
    <row r="49" ht="21.75" customHeight="1" s="683">
      <c r="B49" s="654" t="n"/>
      <c r="C49" s="648" t="inlineStr">
        <is>
          <t>承辦單位主管</t>
        </is>
      </c>
      <c r="D49" s="637" t="n"/>
      <c r="E49" s="637" t="n"/>
      <c r="F49" s="637" t="n"/>
      <c r="G49" s="637" t="n"/>
      <c r="H49" s="637" t="n"/>
      <c r="I49" s="637" t="n"/>
      <c r="J49" s="26" t="n"/>
      <c r="K49" s="26" t="n"/>
      <c r="L49" s="26" t="n"/>
      <c r="M49" s="26" t="n"/>
      <c r="N49" s="26" t="n"/>
      <c r="O49" s="26" t="n"/>
      <c r="P49" s="26" t="n"/>
      <c r="Q49" s="26" t="n"/>
      <c r="R49" s="26" t="n"/>
      <c r="S49" s="26" t="n"/>
      <c r="T49" s="26" t="n"/>
      <c r="U49" s="26" t="n"/>
      <c r="V49" s="26" t="n"/>
      <c r="W49" s="26" t="n"/>
      <c r="X49" s="26" t="n"/>
      <c r="Y49" s="26" t="n"/>
      <c r="Z49" s="26" t="n"/>
      <c r="AA49" s="26" t="n"/>
    </row>
    <row r="50" ht="30" customHeight="1" s="683">
      <c r="B50" s="636" t="n"/>
      <c r="C50" s="637" t="n"/>
      <c r="D50" s="637" t="n"/>
      <c r="E50" s="637" t="n"/>
      <c r="F50" s="637" t="n"/>
      <c r="G50" s="654" t="n"/>
      <c r="H50" s="637" t="n"/>
      <c r="I50" s="637" t="n"/>
      <c r="J50" s="637" t="n"/>
      <c r="K50" s="637" t="n"/>
      <c r="L50" s="637" t="n"/>
      <c r="M50" s="637" t="n"/>
      <c r="N50" s="637" t="n"/>
      <c r="O50" s="637" t="n"/>
      <c r="P50" s="637" t="n"/>
      <c r="Q50" s="637" t="n"/>
      <c r="R50" s="637" t="n"/>
      <c r="S50" s="637" t="n"/>
      <c r="T50" s="637" t="n"/>
      <c r="U50" s="637" t="n"/>
      <c r="V50" s="637" t="n"/>
      <c r="W50" s="637" t="n"/>
      <c r="X50" s="637" t="n"/>
      <c r="Y50" s="637" t="n"/>
      <c r="Z50" s="637" t="n"/>
      <c r="AA50" s="637" t="n"/>
    </row>
  </sheetData>
  <mergeCells count="186">
    <mergeCell ref="H17:I18"/>
    <mergeCell ref="S9:W10"/>
    <mergeCell ref="B27:E28"/>
    <mergeCell ref="N11:O11"/>
    <mergeCell ref="J38:M39"/>
    <mergeCell ref="P27:R27"/>
    <mergeCell ref="P36:R36"/>
    <mergeCell ref="B17:E18"/>
    <mergeCell ref="J34:M35"/>
    <mergeCell ref="B11:E12"/>
    <mergeCell ref="F9:G10"/>
    <mergeCell ref="B45:E45"/>
    <mergeCell ref="F15:G15"/>
    <mergeCell ref="P19:R19"/>
    <mergeCell ref="X27:AA27"/>
    <mergeCell ref="F16:I16"/>
    <mergeCell ref="B47:E47"/>
    <mergeCell ref="H5:I6"/>
    <mergeCell ref="S23:W23"/>
    <mergeCell ref="X11:AA11"/>
    <mergeCell ref="P34:R35"/>
    <mergeCell ref="J19:M19"/>
    <mergeCell ref="X5:AA6"/>
    <mergeCell ref="N30:O31"/>
    <mergeCell ref="P21:R22"/>
    <mergeCell ref="S40:W40"/>
    <mergeCell ref="O46:R47"/>
    <mergeCell ref="F23:G23"/>
    <mergeCell ref="J25:M26"/>
    <mergeCell ref="S15:W15"/>
    <mergeCell ref="N40:O40"/>
    <mergeCell ref="J8:AA8"/>
    <mergeCell ref="B30:E31"/>
    <mergeCell ref="J5:M6"/>
    <mergeCell ref="H21:I22"/>
    <mergeCell ref="N15:O15"/>
    <mergeCell ref="H15:I15"/>
    <mergeCell ref="P40:R40"/>
    <mergeCell ref="H23:I23"/>
    <mergeCell ref="B7:E8"/>
    <mergeCell ref="X15:AA15"/>
    <mergeCell ref="B21:E22"/>
    <mergeCell ref="F21:G22"/>
    <mergeCell ref="N17:O18"/>
    <mergeCell ref="N7:O7"/>
    <mergeCell ref="X13:AA14"/>
    <mergeCell ref="F19:G19"/>
    <mergeCell ref="S34:W35"/>
    <mergeCell ref="F37:I37"/>
    <mergeCell ref="F38:G39"/>
    <mergeCell ref="J23:M23"/>
    <mergeCell ref="N9:O10"/>
    <mergeCell ref="J20:AA20"/>
    <mergeCell ref="P25:R26"/>
    <mergeCell ref="X40:AA40"/>
    <mergeCell ref="P9:R10"/>
    <mergeCell ref="H36:I36"/>
    <mergeCell ref="B19:E20"/>
    <mergeCell ref="B34:E35"/>
    <mergeCell ref="H11:I11"/>
    <mergeCell ref="J12:AA12"/>
    <mergeCell ref="B9:E10"/>
    <mergeCell ref="S25:W26"/>
    <mergeCell ref="B36:E37"/>
    <mergeCell ref="S21:W22"/>
    <mergeCell ref="H19:I19"/>
    <mergeCell ref="S6:W6"/>
    <mergeCell ref="X9:AA10"/>
    <mergeCell ref="G50:AA50"/>
    <mergeCell ref="F20:I20"/>
    <mergeCell ref="B5:E6"/>
    <mergeCell ref="X19:AA19"/>
    <mergeCell ref="F33:I33"/>
    <mergeCell ref="J27:M27"/>
    <mergeCell ref="F25:G26"/>
    <mergeCell ref="J36:M36"/>
    <mergeCell ref="G43:AA43"/>
    <mergeCell ref="N21:O22"/>
    <mergeCell ref="X25:AA26"/>
    <mergeCell ref="J11:M11"/>
    <mergeCell ref="P13:R14"/>
    <mergeCell ref="S32:W32"/>
    <mergeCell ref="F28:I28"/>
    <mergeCell ref="J13:M14"/>
    <mergeCell ref="S38:W39"/>
    <mergeCell ref="J24:AA24"/>
    <mergeCell ref="N32:O32"/>
    <mergeCell ref="P23:R23"/>
    <mergeCell ref="P30:R31"/>
    <mergeCell ref="H40:I40"/>
    <mergeCell ref="S27:W27"/>
    <mergeCell ref="F7:G7"/>
    <mergeCell ref="B38:E39"/>
    <mergeCell ref="N38:O39"/>
    <mergeCell ref="P7:R7"/>
    <mergeCell ref="B48:F48"/>
    <mergeCell ref="J30:M31"/>
    <mergeCell ref="J16:AA16"/>
    <mergeCell ref="N34:O35"/>
    <mergeCell ref="S11:W11"/>
    <mergeCell ref="C49:I49"/>
    <mergeCell ref="F36:G36"/>
    <mergeCell ref="F4:AA4"/>
    <mergeCell ref="W3:AA3"/>
    <mergeCell ref="S46:AA47"/>
    <mergeCell ref="X23:AA23"/>
    <mergeCell ref="X32:AA32"/>
    <mergeCell ref="J40:M40"/>
    <mergeCell ref="F34:G35"/>
    <mergeCell ref="B43:E43"/>
    <mergeCell ref="X38:AA39"/>
    <mergeCell ref="H25:I26"/>
    <mergeCell ref="N19:O19"/>
    <mergeCell ref="P17:R18"/>
    <mergeCell ref="B42:E42"/>
    <mergeCell ref="S36:W36"/>
    <mergeCell ref="H9:I10"/>
    <mergeCell ref="N25:O26"/>
    <mergeCell ref="F8:I8"/>
    <mergeCell ref="J17:M18"/>
    <mergeCell ref="F45:AA45"/>
    <mergeCell ref="B44:E44"/>
    <mergeCell ref="J37:AA37"/>
    <mergeCell ref="H34:I35"/>
    <mergeCell ref="X17:AA18"/>
    <mergeCell ref="B50:F50"/>
    <mergeCell ref="F30:G31"/>
    <mergeCell ref="N5:O6"/>
    <mergeCell ref="S13:W14"/>
    <mergeCell ref="F46:N47"/>
    <mergeCell ref="F11:G11"/>
    <mergeCell ref="P11:R11"/>
    <mergeCell ref="P5:R6"/>
    <mergeCell ref="J9:M10"/>
    <mergeCell ref="N13:O14"/>
    <mergeCell ref="X34:AA35"/>
    <mergeCell ref="F40:G40"/>
    <mergeCell ref="F13:G14"/>
    <mergeCell ref="H13:I14"/>
    <mergeCell ref="S30:W31"/>
    <mergeCell ref="B23:E24"/>
    <mergeCell ref="X36:AA36"/>
    <mergeCell ref="B4:E4"/>
    <mergeCell ref="P32:R32"/>
    <mergeCell ref="S7:W7"/>
    <mergeCell ref="B13:E14"/>
    <mergeCell ref="J41:AA41"/>
    <mergeCell ref="B2:AA2"/>
    <mergeCell ref="F32:G32"/>
    <mergeCell ref="P38:R39"/>
    <mergeCell ref="N23:O23"/>
    <mergeCell ref="B46:E46"/>
    <mergeCell ref="H30:I31"/>
    <mergeCell ref="B15:E16"/>
    <mergeCell ref="P15:R15"/>
    <mergeCell ref="X30:AA31"/>
    <mergeCell ref="H32:I32"/>
    <mergeCell ref="H7:I7"/>
    <mergeCell ref="S19:W19"/>
    <mergeCell ref="F12:I12"/>
    <mergeCell ref="F24:I24"/>
    <mergeCell ref="J21:M22"/>
    <mergeCell ref="X7:AA7"/>
    <mergeCell ref="J33:AA33"/>
    <mergeCell ref="J15:M15"/>
    <mergeCell ref="G44:AA44"/>
    <mergeCell ref="F27:G27"/>
    <mergeCell ref="H38:I39"/>
    <mergeCell ref="B29:AA29"/>
    <mergeCell ref="B40:E41"/>
    <mergeCell ref="X21:AA22"/>
    <mergeCell ref="H27:I27"/>
    <mergeCell ref="B32:E33"/>
    <mergeCell ref="S17:W18"/>
    <mergeCell ref="F41:I41"/>
    <mergeCell ref="S5:W5"/>
    <mergeCell ref="F5:G6"/>
    <mergeCell ref="G42:U42"/>
    <mergeCell ref="J28:AA28"/>
    <mergeCell ref="B25:E26"/>
    <mergeCell ref="N27:O27"/>
    <mergeCell ref="J32:M32"/>
    <mergeCell ref="J7:M7"/>
    <mergeCell ref="N36:O36"/>
    <mergeCell ref="G48:AA48"/>
    <mergeCell ref="F17:G18"/>
  </mergeCells>
  <dataValidations count="1">
    <dataValidation sqref="B7:E8 B11:E12 B15:E16 B19:E20 B23:E24 B27:E28 B29 B32:E33 B36:E37 B40:E41" showDropDown="0" showInputMessage="1" showErrorMessage="1" allowBlank="1" type="list">
      <formula1>姓名</formula1>
    </dataValidation>
  </dataValidations>
  <pageMargins left="0.5625" right="0.3543307086614174" top="0.3937007874015748" bottom="0.3937007874015748" header="0.5118110236220472" footer="0.5118110236220472"/>
  <pageSetup orientation="portrait" paperSize="9"/>
</worksheet>
</file>

<file path=xl/worksheets/sheet30.xml><?xml version="1.0" encoding="utf-8"?>
<worksheet xmlns="http://schemas.openxmlformats.org/spreadsheetml/2006/main">
  <sheetPr codeName="工作表50">
    <outlinePr summaryBelow="1" summaryRight="1"/>
    <pageSetUpPr/>
  </sheetPr>
  <dimension ref="A1:AM72"/>
  <sheetViews>
    <sheetView view="pageBreakPreview" topLeftCell="A13" zoomScaleNormal="85" zoomScaleSheetLayoutView="100" workbookViewId="0">
      <selection activeCell="I11" sqref="I11:N11"/>
    </sheetView>
  </sheetViews>
  <sheetFormatPr baseColWidth="8" defaultRowHeight="16.5"/>
  <cols>
    <col width="4.375" customWidth="1" style="683" min="1" max="1"/>
    <col width="8.875" customWidth="1" style="683" min="2" max="2"/>
    <col width="4" customWidth="1" style="683" min="3" max="3"/>
    <col width="10.375" customWidth="1" style="683" min="4" max="4"/>
    <col width="7.75" customWidth="1" style="683" min="5" max="5"/>
    <col width="6" customWidth="1" style="683" min="6" max="6"/>
    <col width="10.75" customWidth="1" style="683" min="7" max="7"/>
    <col width="8.125" customWidth="1" style="683" min="8" max="8"/>
    <col width="8.25" customWidth="1" style="683" min="9" max="9"/>
    <col width="4.125" customWidth="1" style="683" min="10" max="10"/>
    <col width="3.75" customWidth="1" style="683" min="11" max="11"/>
    <col width="2.75" customWidth="1" style="683" min="12" max="12"/>
    <col width="4.875" customWidth="1" style="683" min="13" max="13"/>
    <col width="3.125" customWidth="1" style="683" min="14" max="14"/>
    <col width="6.25" customWidth="1" style="683" min="257" max="257"/>
    <col width="9.875" customWidth="1" style="683" min="258" max="258"/>
    <col width="4" customWidth="1" style="683" min="259" max="259"/>
    <col width="10.75" customWidth="1" style="683" min="260" max="260"/>
    <col width="8.5" customWidth="1" style="683" min="261" max="261"/>
    <col width="6" customWidth="1" style="683" min="262" max="262"/>
    <col width="10.5" customWidth="1" style="683" min="263" max="263"/>
    <col width="8.125" customWidth="1" style="683" min="264" max="264"/>
    <col width="5.5" customWidth="1" style="683" min="265" max="265"/>
    <col width="4.125" customWidth="1" style="683" min="266" max="266"/>
    <col width="3.75" customWidth="1" style="683" min="267" max="267"/>
    <col width="4.375" customWidth="1" style="683" min="268" max="268"/>
    <col width="4.625" customWidth="1" style="683" min="269" max="269"/>
    <col width="4.875" customWidth="1" style="683" min="270" max="270"/>
    <col width="6.25" customWidth="1" style="683" min="513" max="513"/>
    <col width="9.875" customWidth="1" style="683" min="514" max="514"/>
    <col width="4" customWidth="1" style="683" min="515" max="515"/>
    <col width="10.75" customWidth="1" style="683" min="516" max="516"/>
    <col width="8.5" customWidth="1" style="683" min="517" max="517"/>
    <col width="6" customWidth="1" style="683" min="518" max="518"/>
    <col width="10.5" customWidth="1" style="683" min="519" max="519"/>
    <col width="8.125" customWidth="1" style="683" min="520" max="520"/>
    <col width="5.5" customWidth="1" style="683" min="521" max="521"/>
    <col width="4.125" customWidth="1" style="683" min="522" max="522"/>
    <col width="3.75" customWidth="1" style="683" min="523" max="523"/>
    <col width="4.375" customWidth="1" style="683" min="524" max="524"/>
    <col width="4.625" customWidth="1" style="683" min="525" max="525"/>
    <col width="4.875" customWidth="1" style="683" min="526" max="526"/>
    <col width="6.25" customWidth="1" style="683" min="769" max="769"/>
    <col width="9.875" customWidth="1" style="683" min="770" max="770"/>
    <col width="4" customWidth="1" style="683" min="771" max="771"/>
    <col width="10.75" customWidth="1" style="683" min="772" max="772"/>
    <col width="8.5" customWidth="1" style="683" min="773" max="773"/>
    <col width="6" customWidth="1" style="683" min="774" max="774"/>
    <col width="10.5" customWidth="1" style="683" min="775" max="775"/>
    <col width="8.125" customWidth="1" style="683" min="776" max="776"/>
    <col width="5.5" customWidth="1" style="683" min="777" max="777"/>
    <col width="4.125" customWidth="1" style="683" min="778" max="778"/>
    <col width="3.75" customWidth="1" style="683" min="779" max="779"/>
    <col width="4.375" customWidth="1" style="683" min="780" max="780"/>
    <col width="4.625" customWidth="1" style="683" min="781" max="781"/>
    <col width="4.875" customWidth="1" style="683" min="782" max="782"/>
    <col width="6.25" customWidth="1" style="683" min="1025" max="1025"/>
    <col width="9.875" customWidth="1" style="683" min="1026" max="1026"/>
    <col width="4" customWidth="1" style="683" min="1027" max="1027"/>
    <col width="10.75" customWidth="1" style="683" min="1028" max="1028"/>
    <col width="8.5" customWidth="1" style="683" min="1029" max="1029"/>
    <col width="6" customWidth="1" style="683" min="1030" max="1030"/>
    <col width="10.5" customWidth="1" style="683" min="1031" max="1031"/>
    <col width="8.125" customWidth="1" style="683" min="1032" max="1032"/>
    <col width="5.5" customWidth="1" style="683" min="1033" max="1033"/>
    <col width="4.125" customWidth="1" style="683" min="1034" max="1034"/>
    <col width="3.75" customWidth="1" style="683" min="1035" max="1035"/>
    <col width="4.375" customWidth="1" style="683" min="1036" max="1036"/>
    <col width="4.625" customWidth="1" style="683" min="1037" max="1037"/>
    <col width="4.875" customWidth="1" style="683" min="1038" max="1038"/>
    <col width="6.25" customWidth="1" style="683" min="1281" max="1281"/>
    <col width="9.875" customWidth="1" style="683" min="1282" max="1282"/>
    <col width="4" customWidth="1" style="683" min="1283" max="1283"/>
    <col width="10.75" customWidth="1" style="683" min="1284" max="1284"/>
    <col width="8.5" customWidth="1" style="683" min="1285" max="1285"/>
    <col width="6" customWidth="1" style="683" min="1286" max="1286"/>
    <col width="10.5" customWidth="1" style="683" min="1287" max="1287"/>
    <col width="8.125" customWidth="1" style="683" min="1288" max="1288"/>
    <col width="5.5" customWidth="1" style="683" min="1289" max="1289"/>
    <col width="4.125" customWidth="1" style="683" min="1290" max="1290"/>
    <col width="3.75" customWidth="1" style="683" min="1291" max="1291"/>
    <col width="4.375" customWidth="1" style="683" min="1292" max="1292"/>
    <col width="4.625" customWidth="1" style="683" min="1293" max="1293"/>
    <col width="4.875" customWidth="1" style="683" min="1294" max="1294"/>
    <col width="6.25" customWidth="1" style="683" min="1537" max="1537"/>
    <col width="9.875" customWidth="1" style="683" min="1538" max="1538"/>
    <col width="4" customWidth="1" style="683" min="1539" max="1539"/>
    <col width="10.75" customWidth="1" style="683" min="1540" max="1540"/>
    <col width="8.5" customWidth="1" style="683" min="1541" max="1541"/>
    <col width="6" customWidth="1" style="683" min="1542" max="1542"/>
    <col width="10.5" customWidth="1" style="683" min="1543" max="1543"/>
    <col width="8.125" customWidth="1" style="683" min="1544" max="1544"/>
    <col width="5.5" customWidth="1" style="683" min="1545" max="1545"/>
    <col width="4.125" customWidth="1" style="683" min="1546" max="1546"/>
    <col width="3.75" customWidth="1" style="683" min="1547" max="1547"/>
    <col width="4.375" customWidth="1" style="683" min="1548" max="1548"/>
    <col width="4.625" customWidth="1" style="683" min="1549" max="1549"/>
    <col width="4.875" customWidth="1" style="683" min="1550" max="1550"/>
    <col width="6.25" customWidth="1" style="683" min="1793" max="1793"/>
    <col width="9.875" customWidth="1" style="683" min="1794" max="1794"/>
    <col width="4" customWidth="1" style="683" min="1795" max="1795"/>
    <col width="10.75" customWidth="1" style="683" min="1796" max="1796"/>
    <col width="8.5" customWidth="1" style="683" min="1797" max="1797"/>
    <col width="6" customWidth="1" style="683" min="1798" max="1798"/>
    <col width="10.5" customWidth="1" style="683" min="1799" max="1799"/>
    <col width="8.125" customWidth="1" style="683" min="1800" max="1800"/>
    <col width="5.5" customWidth="1" style="683" min="1801" max="1801"/>
    <col width="4.125" customWidth="1" style="683" min="1802" max="1802"/>
    <col width="3.75" customWidth="1" style="683" min="1803" max="1803"/>
    <col width="4.375" customWidth="1" style="683" min="1804" max="1804"/>
    <col width="4.625" customWidth="1" style="683" min="1805" max="1805"/>
    <col width="4.875" customWidth="1" style="683" min="1806" max="1806"/>
    <col width="6.25" customWidth="1" style="683" min="2049" max="2049"/>
    <col width="9.875" customWidth="1" style="683" min="2050" max="2050"/>
    <col width="4" customWidth="1" style="683" min="2051" max="2051"/>
    <col width="10.75" customWidth="1" style="683" min="2052" max="2052"/>
    <col width="8.5" customWidth="1" style="683" min="2053" max="2053"/>
    <col width="6" customWidth="1" style="683" min="2054" max="2054"/>
    <col width="10.5" customWidth="1" style="683" min="2055" max="2055"/>
    <col width="8.125" customWidth="1" style="683" min="2056" max="2056"/>
    <col width="5.5" customWidth="1" style="683" min="2057" max="2057"/>
    <col width="4.125" customWidth="1" style="683" min="2058" max="2058"/>
    <col width="3.75" customWidth="1" style="683" min="2059" max="2059"/>
    <col width="4.375" customWidth="1" style="683" min="2060" max="2060"/>
    <col width="4.625" customWidth="1" style="683" min="2061" max="2061"/>
    <col width="4.875" customWidth="1" style="683" min="2062" max="2062"/>
    <col width="6.25" customWidth="1" style="683" min="2305" max="2305"/>
    <col width="9.875" customWidth="1" style="683" min="2306" max="2306"/>
    <col width="4" customWidth="1" style="683" min="2307" max="2307"/>
    <col width="10.75" customWidth="1" style="683" min="2308" max="2308"/>
    <col width="8.5" customWidth="1" style="683" min="2309" max="2309"/>
    <col width="6" customWidth="1" style="683" min="2310" max="2310"/>
    <col width="10.5" customWidth="1" style="683" min="2311" max="2311"/>
    <col width="8.125" customWidth="1" style="683" min="2312" max="2312"/>
    <col width="5.5" customWidth="1" style="683" min="2313" max="2313"/>
    <col width="4.125" customWidth="1" style="683" min="2314" max="2314"/>
    <col width="3.75" customWidth="1" style="683" min="2315" max="2315"/>
    <col width="4.375" customWidth="1" style="683" min="2316" max="2316"/>
    <col width="4.625" customWidth="1" style="683" min="2317" max="2317"/>
    <col width="4.875" customWidth="1" style="683" min="2318" max="2318"/>
    <col width="6.25" customWidth="1" style="683" min="2561" max="2561"/>
    <col width="9.875" customWidth="1" style="683" min="2562" max="2562"/>
    <col width="4" customWidth="1" style="683" min="2563" max="2563"/>
    <col width="10.75" customWidth="1" style="683" min="2564" max="2564"/>
    <col width="8.5" customWidth="1" style="683" min="2565" max="2565"/>
    <col width="6" customWidth="1" style="683" min="2566" max="2566"/>
    <col width="10.5" customWidth="1" style="683" min="2567" max="2567"/>
    <col width="8.125" customWidth="1" style="683" min="2568" max="2568"/>
    <col width="5.5" customWidth="1" style="683" min="2569" max="2569"/>
    <col width="4.125" customWidth="1" style="683" min="2570" max="2570"/>
    <col width="3.75" customWidth="1" style="683" min="2571" max="2571"/>
    <col width="4.375" customWidth="1" style="683" min="2572" max="2572"/>
    <col width="4.625" customWidth="1" style="683" min="2573" max="2573"/>
    <col width="4.875" customWidth="1" style="683" min="2574" max="2574"/>
    <col width="6.25" customWidth="1" style="683" min="2817" max="2817"/>
    <col width="9.875" customWidth="1" style="683" min="2818" max="2818"/>
    <col width="4" customWidth="1" style="683" min="2819" max="2819"/>
    <col width="10.75" customWidth="1" style="683" min="2820" max="2820"/>
    <col width="8.5" customWidth="1" style="683" min="2821" max="2821"/>
    <col width="6" customWidth="1" style="683" min="2822" max="2822"/>
    <col width="10.5" customWidth="1" style="683" min="2823" max="2823"/>
    <col width="8.125" customWidth="1" style="683" min="2824" max="2824"/>
    <col width="5.5" customWidth="1" style="683" min="2825" max="2825"/>
    <col width="4.125" customWidth="1" style="683" min="2826" max="2826"/>
    <col width="3.75" customWidth="1" style="683" min="2827" max="2827"/>
    <col width="4.375" customWidth="1" style="683" min="2828" max="2828"/>
    <col width="4.625" customWidth="1" style="683" min="2829" max="2829"/>
    <col width="4.875" customWidth="1" style="683" min="2830" max="2830"/>
    <col width="6.25" customWidth="1" style="683" min="3073" max="3073"/>
    <col width="9.875" customWidth="1" style="683" min="3074" max="3074"/>
    <col width="4" customWidth="1" style="683" min="3075" max="3075"/>
    <col width="10.75" customWidth="1" style="683" min="3076" max="3076"/>
    <col width="8.5" customWidth="1" style="683" min="3077" max="3077"/>
    <col width="6" customWidth="1" style="683" min="3078" max="3078"/>
    <col width="10.5" customWidth="1" style="683" min="3079" max="3079"/>
    <col width="8.125" customWidth="1" style="683" min="3080" max="3080"/>
    <col width="5.5" customWidth="1" style="683" min="3081" max="3081"/>
    <col width="4.125" customWidth="1" style="683" min="3082" max="3082"/>
    <col width="3.75" customWidth="1" style="683" min="3083" max="3083"/>
    <col width="4.375" customWidth="1" style="683" min="3084" max="3084"/>
    <col width="4.625" customWidth="1" style="683" min="3085" max="3085"/>
    <col width="4.875" customWidth="1" style="683" min="3086" max="3086"/>
    <col width="6.25" customWidth="1" style="683" min="3329" max="3329"/>
    <col width="9.875" customWidth="1" style="683" min="3330" max="3330"/>
    <col width="4" customWidth="1" style="683" min="3331" max="3331"/>
    <col width="10.75" customWidth="1" style="683" min="3332" max="3332"/>
    <col width="8.5" customWidth="1" style="683" min="3333" max="3333"/>
    <col width="6" customWidth="1" style="683" min="3334" max="3334"/>
    <col width="10.5" customWidth="1" style="683" min="3335" max="3335"/>
    <col width="8.125" customWidth="1" style="683" min="3336" max="3336"/>
    <col width="5.5" customWidth="1" style="683" min="3337" max="3337"/>
    <col width="4.125" customWidth="1" style="683" min="3338" max="3338"/>
    <col width="3.75" customWidth="1" style="683" min="3339" max="3339"/>
    <col width="4.375" customWidth="1" style="683" min="3340" max="3340"/>
    <col width="4.625" customWidth="1" style="683" min="3341" max="3341"/>
    <col width="4.875" customWidth="1" style="683" min="3342" max="3342"/>
    <col width="6.25" customWidth="1" style="683" min="3585" max="3585"/>
    <col width="9.875" customWidth="1" style="683" min="3586" max="3586"/>
    <col width="4" customWidth="1" style="683" min="3587" max="3587"/>
    <col width="10.75" customWidth="1" style="683" min="3588" max="3588"/>
    <col width="8.5" customWidth="1" style="683" min="3589" max="3589"/>
    <col width="6" customWidth="1" style="683" min="3590" max="3590"/>
    <col width="10.5" customWidth="1" style="683" min="3591" max="3591"/>
    <col width="8.125" customWidth="1" style="683" min="3592" max="3592"/>
    <col width="5.5" customWidth="1" style="683" min="3593" max="3593"/>
    <col width="4.125" customWidth="1" style="683" min="3594" max="3594"/>
    <col width="3.75" customWidth="1" style="683" min="3595" max="3595"/>
    <col width="4.375" customWidth="1" style="683" min="3596" max="3596"/>
    <col width="4.625" customWidth="1" style="683" min="3597" max="3597"/>
    <col width="4.875" customWidth="1" style="683" min="3598" max="3598"/>
    <col width="6.25" customWidth="1" style="683" min="3841" max="3841"/>
    <col width="9.875" customWidth="1" style="683" min="3842" max="3842"/>
    <col width="4" customWidth="1" style="683" min="3843" max="3843"/>
    <col width="10.75" customWidth="1" style="683" min="3844" max="3844"/>
    <col width="8.5" customWidth="1" style="683" min="3845" max="3845"/>
    <col width="6" customWidth="1" style="683" min="3846" max="3846"/>
    <col width="10.5" customWidth="1" style="683" min="3847" max="3847"/>
    <col width="8.125" customWidth="1" style="683" min="3848" max="3848"/>
    <col width="5.5" customWidth="1" style="683" min="3849" max="3849"/>
    <col width="4.125" customWidth="1" style="683" min="3850" max="3850"/>
    <col width="3.75" customWidth="1" style="683" min="3851" max="3851"/>
    <col width="4.375" customWidth="1" style="683" min="3852" max="3852"/>
    <col width="4.625" customWidth="1" style="683" min="3853" max="3853"/>
    <col width="4.875" customWidth="1" style="683" min="3854" max="3854"/>
    <col width="6.25" customWidth="1" style="683" min="4097" max="4097"/>
    <col width="9.875" customWidth="1" style="683" min="4098" max="4098"/>
    <col width="4" customWidth="1" style="683" min="4099" max="4099"/>
    <col width="10.75" customWidth="1" style="683" min="4100" max="4100"/>
    <col width="8.5" customWidth="1" style="683" min="4101" max="4101"/>
    <col width="6" customWidth="1" style="683" min="4102" max="4102"/>
    <col width="10.5" customWidth="1" style="683" min="4103" max="4103"/>
    <col width="8.125" customWidth="1" style="683" min="4104" max="4104"/>
    <col width="5.5" customWidth="1" style="683" min="4105" max="4105"/>
    <col width="4.125" customWidth="1" style="683" min="4106" max="4106"/>
    <col width="3.75" customWidth="1" style="683" min="4107" max="4107"/>
    <col width="4.375" customWidth="1" style="683" min="4108" max="4108"/>
    <col width="4.625" customWidth="1" style="683" min="4109" max="4109"/>
    <col width="4.875" customWidth="1" style="683" min="4110" max="4110"/>
    <col width="6.25" customWidth="1" style="683" min="4353" max="4353"/>
    <col width="9.875" customWidth="1" style="683" min="4354" max="4354"/>
    <col width="4" customWidth="1" style="683" min="4355" max="4355"/>
    <col width="10.75" customWidth="1" style="683" min="4356" max="4356"/>
    <col width="8.5" customWidth="1" style="683" min="4357" max="4357"/>
    <col width="6" customWidth="1" style="683" min="4358" max="4358"/>
    <col width="10.5" customWidth="1" style="683" min="4359" max="4359"/>
    <col width="8.125" customWidth="1" style="683" min="4360" max="4360"/>
    <col width="5.5" customWidth="1" style="683" min="4361" max="4361"/>
    <col width="4.125" customWidth="1" style="683" min="4362" max="4362"/>
    <col width="3.75" customWidth="1" style="683" min="4363" max="4363"/>
    <col width="4.375" customWidth="1" style="683" min="4364" max="4364"/>
    <col width="4.625" customWidth="1" style="683" min="4365" max="4365"/>
    <col width="4.875" customWidth="1" style="683" min="4366" max="4366"/>
    <col width="6.25" customWidth="1" style="683" min="4609" max="4609"/>
    <col width="9.875" customWidth="1" style="683" min="4610" max="4610"/>
    <col width="4" customWidth="1" style="683" min="4611" max="4611"/>
    <col width="10.75" customWidth="1" style="683" min="4612" max="4612"/>
    <col width="8.5" customWidth="1" style="683" min="4613" max="4613"/>
    <col width="6" customWidth="1" style="683" min="4614" max="4614"/>
    <col width="10.5" customWidth="1" style="683" min="4615" max="4615"/>
    <col width="8.125" customWidth="1" style="683" min="4616" max="4616"/>
    <col width="5.5" customWidth="1" style="683" min="4617" max="4617"/>
    <col width="4.125" customWidth="1" style="683" min="4618" max="4618"/>
    <col width="3.75" customWidth="1" style="683" min="4619" max="4619"/>
    <col width="4.375" customWidth="1" style="683" min="4620" max="4620"/>
    <col width="4.625" customWidth="1" style="683" min="4621" max="4621"/>
    <col width="4.875" customWidth="1" style="683" min="4622" max="4622"/>
    <col width="6.25" customWidth="1" style="683" min="4865" max="4865"/>
    <col width="9.875" customWidth="1" style="683" min="4866" max="4866"/>
    <col width="4" customWidth="1" style="683" min="4867" max="4867"/>
    <col width="10.75" customWidth="1" style="683" min="4868" max="4868"/>
    <col width="8.5" customWidth="1" style="683" min="4869" max="4869"/>
    <col width="6" customWidth="1" style="683" min="4870" max="4870"/>
    <col width="10.5" customWidth="1" style="683" min="4871" max="4871"/>
    <col width="8.125" customWidth="1" style="683" min="4872" max="4872"/>
    <col width="5.5" customWidth="1" style="683" min="4873" max="4873"/>
    <col width="4.125" customWidth="1" style="683" min="4874" max="4874"/>
    <col width="3.75" customWidth="1" style="683" min="4875" max="4875"/>
    <col width="4.375" customWidth="1" style="683" min="4876" max="4876"/>
    <col width="4.625" customWidth="1" style="683" min="4877" max="4877"/>
    <col width="4.875" customWidth="1" style="683" min="4878" max="4878"/>
    <col width="6.25" customWidth="1" style="683" min="5121" max="5121"/>
    <col width="9.875" customWidth="1" style="683" min="5122" max="5122"/>
    <col width="4" customWidth="1" style="683" min="5123" max="5123"/>
    <col width="10.75" customWidth="1" style="683" min="5124" max="5124"/>
    <col width="8.5" customWidth="1" style="683" min="5125" max="5125"/>
    <col width="6" customWidth="1" style="683" min="5126" max="5126"/>
    <col width="10.5" customWidth="1" style="683" min="5127" max="5127"/>
    <col width="8.125" customWidth="1" style="683" min="5128" max="5128"/>
    <col width="5.5" customWidth="1" style="683" min="5129" max="5129"/>
    <col width="4.125" customWidth="1" style="683" min="5130" max="5130"/>
    <col width="3.75" customWidth="1" style="683" min="5131" max="5131"/>
    <col width="4.375" customWidth="1" style="683" min="5132" max="5132"/>
    <col width="4.625" customWidth="1" style="683" min="5133" max="5133"/>
    <col width="4.875" customWidth="1" style="683" min="5134" max="5134"/>
    <col width="6.25" customWidth="1" style="683" min="5377" max="5377"/>
    <col width="9.875" customWidth="1" style="683" min="5378" max="5378"/>
    <col width="4" customWidth="1" style="683" min="5379" max="5379"/>
    <col width="10.75" customWidth="1" style="683" min="5380" max="5380"/>
    <col width="8.5" customWidth="1" style="683" min="5381" max="5381"/>
    <col width="6" customWidth="1" style="683" min="5382" max="5382"/>
    <col width="10.5" customWidth="1" style="683" min="5383" max="5383"/>
    <col width="8.125" customWidth="1" style="683" min="5384" max="5384"/>
    <col width="5.5" customWidth="1" style="683" min="5385" max="5385"/>
    <col width="4.125" customWidth="1" style="683" min="5386" max="5386"/>
    <col width="3.75" customWidth="1" style="683" min="5387" max="5387"/>
    <col width="4.375" customWidth="1" style="683" min="5388" max="5388"/>
    <col width="4.625" customWidth="1" style="683" min="5389" max="5389"/>
    <col width="4.875" customWidth="1" style="683" min="5390" max="5390"/>
    <col width="6.25" customWidth="1" style="683" min="5633" max="5633"/>
    <col width="9.875" customWidth="1" style="683" min="5634" max="5634"/>
    <col width="4" customWidth="1" style="683" min="5635" max="5635"/>
    <col width="10.75" customWidth="1" style="683" min="5636" max="5636"/>
    <col width="8.5" customWidth="1" style="683" min="5637" max="5637"/>
    <col width="6" customWidth="1" style="683" min="5638" max="5638"/>
    <col width="10.5" customWidth="1" style="683" min="5639" max="5639"/>
    <col width="8.125" customWidth="1" style="683" min="5640" max="5640"/>
    <col width="5.5" customWidth="1" style="683" min="5641" max="5641"/>
    <col width="4.125" customWidth="1" style="683" min="5642" max="5642"/>
    <col width="3.75" customWidth="1" style="683" min="5643" max="5643"/>
    <col width="4.375" customWidth="1" style="683" min="5644" max="5644"/>
    <col width="4.625" customWidth="1" style="683" min="5645" max="5645"/>
    <col width="4.875" customWidth="1" style="683" min="5646" max="5646"/>
    <col width="6.25" customWidth="1" style="683" min="5889" max="5889"/>
    <col width="9.875" customWidth="1" style="683" min="5890" max="5890"/>
    <col width="4" customWidth="1" style="683" min="5891" max="5891"/>
    <col width="10.75" customWidth="1" style="683" min="5892" max="5892"/>
    <col width="8.5" customWidth="1" style="683" min="5893" max="5893"/>
    <col width="6" customWidth="1" style="683" min="5894" max="5894"/>
    <col width="10.5" customWidth="1" style="683" min="5895" max="5895"/>
    <col width="8.125" customWidth="1" style="683" min="5896" max="5896"/>
    <col width="5.5" customWidth="1" style="683" min="5897" max="5897"/>
    <col width="4.125" customWidth="1" style="683" min="5898" max="5898"/>
    <col width="3.75" customWidth="1" style="683" min="5899" max="5899"/>
    <col width="4.375" customWidth="1" style="683" min="5900" max="5900"/>
    <col width="4.625" customWidth="1" style="683" min="5901" max="5901"/>
    <col width="4.875" customWidth="1" style="683" min="5902" max="5902"/>
    <col width="6.25" customWidth="1" style="683" min="6145" max="6145"/>
    <col width="9.875" customWidth="1" style="683" min="6146" max="6146"/>
    <col width="4" customWidth="1" style="683" min="6147" max="6147"/>
    <col width="10.75" customWidth="1" style="683" min="6148" max="6148"/>
    <col width="8.5" customWidth="1" style="683" min="6149" max="6149"/>
    <col width="6" customWidth="1" style="683" min="6150" max="6150"/>
    <col width="10.5" customWidth="1" style="683" min="6151" max="6151"/>
    <col width="8.125" customWidth="1" style="683" min="6152" max="6152"/>
    <col width="5.5" customWidth="1" style="683" min="6153" max="6153"/>
    <col width="4.125" customWidth="1" style="683" min="6154" max="6154"/>
    <col width="3.75" customWidth="1" style="683" min="6155" max="6155"/>
    <col width="4.375" customWidth="1" style="683" min="6156" max="6156"/>
    <col width="4.625" customWidth="1" style="683" min="6157" max="6157"/>
    <col width="4.875" customWidth="1" style="683" min="6158" max="6158"/>
    <col width="6.25" customWidth="1" style="683" min="6401" max="6401"/>
    <col width="9.875" customWidth="1" style="683" min="6402" max="6402"/>
    <col width="4" customWidth="1" style="683" min="6403" max="6403"/>
    <col width="10.75" customWidth="1" style="683" min="6404" max="6404"/>
    <col width="8.5" customWidth="1" style="683" min="6405" max="6405"/>
    <col width="6" customWidth="1" style="683" min="6406" max="6406"/>
    <col width="10.5" customWidth="1" style="683" min="6407" max="6407"/>
    <col width="8.125" customWidth="1" style="683" min="6408" max="6408"/>
    <col width="5.5" customWidth="1" style="683" min="6409" max="6409"/>
    <col width="4.125" customWidth="1" style="683" min="6410" max="6410"/>
    <col width="3.75" customWidth="1" style="683" min="6411" max="6411"/>
    <col width="4.375" customWidth="1" style="683" min="6412" max="6412"/>
    <col width="4.625" customWidth="1" style="683" min="6413" max="6413"/>
    <col width="4.875" customWidth="1" style="683" min="6414" max="6414"/>
    <col width="6.25" customWidth="1" style="683" min="6657" max="6657"/>
    <col width="9.875" customWidth="1" style="683" min="6658" max="6658"/>
    <col width="4" customWidth="1" style="683" min="6659" max="6659"/>
    <col width="10.75" customWidth="1" style="683" min="6660" max="6660"/>
    <col width="8.5" customWidth="1" style="683" min="6661" max="6661"/>
    <col width="6" customWidth="1" style="683" min="6662" max="6662"/>
    <col width="10.5" customWidth="1" style="683" min="6663" max="6663"/>
    <col width="8.125" customWidth="1" style="683" min="6664" max="6664"/>
    <col width="5.5" customWidth="1" style="683" min="6665" max="6665"/>
    <col width="4.125" customWidth="1" style="683" min="6666" max="6666"/>
    <col width="3.75" customWidth="1" style="683" min="6667" max="6667"/>
    <col width="4.375" customWidth="1" style="683" min="6668" max="6668"/>
    <col width="4.625" customWidth="1" style="683" min="6669" max="6669"/>
    <col width="4.875" customWidth="1" style="683" min="6670" max="6670"/>
    <col width="6.25" customWidth="1" style="683" min="6913" max="6913"/>
    <col width="9.875" customWidth="1" style="683" min="6914" max="6914"/>
    <col width="4" customWidth="1" style="683" min="6915" max="6915"/>
    <col width="10.75" customWidth="1" style="683" min="6916" max="6916"/>
    <col width="8.5" customWidth="1" style="683" min="6917" max="6917"/>
    <col width="6" customWidth="1" style="683" min="6918" max="6918"/>
    <col width="10.5" customWidth="1" style="683" min="6919" max="6919"/>
    <col width="8.125" customWidth="1" style="683" min="6920" max="6920"/>
    <col width="5.5" customWidth="1" style="683" min="6921" max="6921"/>
    <col width="4.125" customWidth="1" style="683" min="6922" max="6922"/>
    <col width="3.75" customWidth="1" style="683" min="6923" max="6923"/>
    <col width="4.375" customWidth="1" style="683" min="6924" max="6924"/>
    <col width="4.625" customWidth="1" style="683" min="6925" max="6925"/>
    <col width="4.875" customWidth="1" style="683" min="6926" max="6926"/>
    <col width="6.25" customWidth="1" style="683" min="7169" max="7169"/>
    <col width="9.875" customWidth="1" style="683" min="7170" max="7170"/>
    <col width="4" customWidth="1" style="683" min="7171" max="7171"/>
    <col width="10.75" customWidth="1" style="683" min="7172" max="7172"/>
    <col width="8.5" customWidth="1" style="683" min="7173" max="7173"/>
    <col width="6" customWidth="1" style="683" min="7174" max="7174"/>
    <col width="10.5" customWidth="1" style="683" min="7175" max="7175"/>
    <col width="8.125" customWidth="1" style="683" min="7176" max="7176"/>
    <col width="5.5" customWidth="1" style="683" min="7177" max="7177"/>
    <col width="4.125" customWidth="1" style="683" min="7178" max="7178"/>
    <col width="3.75" customWidth="1" style="683" min="7179" max="7179"/>
    <col width="4.375" customWidth="1" style="683" min="7180" max="7180"/>
    <col width="4.625" customWidth="1" style="683" min="7181" max="7181"/>
    <col width="4.875" customWidth="1" style="683" min="7182" max="7182"/>
    <col width="6.25" customWidth="1" style="683" min="7425" max="7425"/>
    <col width="9.875" customWidth="1" style="683" min="7426" max="7426"/>
    <col width="4" customWidth="1" style="683" min="7427" max="7427"/>
    <col width="10.75" customWidth="1" style="683" min="7428" max="7428"/>
    <col width="8.5" customWidth="1" style="683" min="7429" max="7429"/>
    <col width="6" customWidth="1" style="683" min="7430" max="7430"/>
    <col width="10.5" customWidth="1" style="683" min="7431" max="7431"/>
    <col width="8.125" customWidth="1" style="683" min="7432" max="7432"/>
    <col width="5.5" customWidth="1" style="683" min="7433" max="7433"/>
    <col width="4.125" customWidth="1" style="683" min="7434" max="7434"/>
    <col width="3.75" customWidth="1" style="683" min="7435" max="7435"/>
    <col width="4.375" customWidth="1" style="683" min="7436" max="7436"/>
    <col width="4.625" customWidth="1" style="683" min="7437" max="7437"/>
    <col width="4.875" customWidth="1" style="683" min="7438" max="7438"/>
    <col width="6.25" customWidth="1" style="683" min="7681" max="7681"/>
    <col width="9.875" customWidth="1" style="683" min="7682" max="7682"/>
    <col width="4" customWidth="1" style="683" min="7683" max="7683"/>
    <col width="10.75" customWidth="1" style="683" min="7684" max="7684"/>
    <col width="8.5" customWidth="1" style="683" min="7685" max="7685"/>
    <col width="6" customWidth="1" style="683" min="7686" max="7686"/>
    <col width="10.5" customWidth="1" style="683" min="7687" max="7687"/>
    <col width="8.125" customWidth="1" style="683" min="7688" max="7688"/>
    <col width="5.5" customWidth="1" style="683" min="7689" max="7689"/>
    <col width="4.125" customWidth="1" style="683" min="7690" max="7690"/>
    <col width="3.75" customWidth="1" style="683" min="7691" max="7691"/>
    <col width="4.375" customWidth="1" style="683" min="7692" max="7692"/>
    <col width="4.625" customWidth="1" style="683" min="7693" max="7693"/>
    <col width="4.875" customWidth="1" style="683" min="7694" max="7694"/>
    <col width="6.25" customWidth="1" style="683" min="7937" max="7937"/>
    <col width="9.875" customWidth="1" style="683" min="7938" max="7938"/>
    <col width="4" customWidth="1" style="683" min="7939" max="7939"/>
    <col width="10.75" customWidth="1" style="683" min="7940" max="7940"/>
    <col width="8.5" customWidth="1" style="683" min="7941" max="7941"/>
    <col width="6" customWidth="1" style="683" min="7942" max="7942"/>
    <col width="10.5" customWidth="1" style="683" min="7943" max="7943"/>
    <col width="8.125" customWidth="1" style="683" min="7944" max="7944"/>
    <col width="5.5" customWidth="1" style="683" min="7945" max="7945"/>
    <col width="4.125" customWidth="1" style="683" min="7946" max="7946"/>
    <col width="3.75" customWidth="1" style="683" min="7947" max="7947"/>
    <col width="4.375" customWidth="1" style="683" min="7948" max="7948"/>
    <col width="4.625" customWidth="1" style="683" min="7949" max="7949"/>
    <col width="4.875" customWidth="1" style="683" min="7950" max="7950"/>
    <col width="6.25" customWidth="1" style="683" min="8193" max="8193"/>
    <col width="9.875" customWidth="1" style="683" min="8194" max="8194"/>
    <col width="4" customWidth="1" style="683" min="8195" max="8195"/>
    <col width="10.75" customWidth="1" style="683" min="8196" max="8196"/>
    <col width="8.5" customWidth="1" style="683" min="8197" max="8197"/>
    <col width="6" customWidth="1" style="683" min="8198" max="8198"/>
    <col width="10.5" customWidth="1" style="683" min="8199" max="8199"/>
    <col width="8.125" customWidth="1" style="683" min="8200" max="8200"/>
    <col width="5.5" customWidth="1" style="683" min="8201" max="8201"/>
    <col width="4.125" customWidth="1" style="683" min="8202" max="8202"/>
    <col width="3.75" customWidth="1" style="683" min="8203" max="8203"/>
    <col width="4.375" customWidth="1" style="683" min="8204" max="8204"/>
    <col width="4.625" customWidth="1" style="683" min="8205" max="8205"/>
    <col width="4.875" customWidth="1" style="683" min="8206" max="8206"/>
    <col width="6.25" customWidth="1" style="683" min="8449" max="8449"/>
    <col width="9.875" customWidth="1" style="683" min="8450" max="8450"/>
    <col width="4" customWidth="1" style="683" min="8451" max="8451"/>
    <col width="10.75" customWidth="1" style="683" min="8452" max="8452"/>
    <col width="8.5" customWidth="1" style="683" min="8453" max="8453"/>
    <col width="6" customWidth="1" style="683" min="8454" max="8454"/>
    <col width="10.5" customWidth="1" style="683" min="8455" max="8455"/>
    <col width="8.125" customWidth="1" style="683" min="8456" max="8456"/>
    <col width="5.5" customWidth="1" style="683" min="8457" max="8457"/>
    <col width="4.125" customWidth="1" style="683" min="8458" max="8458"/>
    <col width="3.75" customWidth="1" style="683" min="8459" max="8459"/>
    <col width="4.375" customWidth="1" style="683" min="8460" max="8460"/>
    <col width="4.625" customWidth="1" style="683" min="8461" max="8461"/>
    <col width="4.875" customWidth="1" style="683" min="8462" max="8462"/>
    <col width="6.25" customWidth="1" style="683" min="8705" max="8705"/>
    <col width="9.875" customWidth="1" style="683" min="8706" max="8706"/>
    <col width="4" customWidth="1" style="683" min="8707" max="8707"/>
    <col width="10.75" customWidth="1" style="683" min="8708" max="8708"/>
    <col width="8.5" customWidth="1" style="683" min="8709" max="8709"/>
    <col width="6" customWidth="1" style="683" min="8710" max="8710"/>
    <col width="10.5" customWidth="1" style="683" min="8711" max="8711"/>
    <col width="8.125" customWidth="1" style="683" min="8712" max="8712"/>
    <col width="5.5" customWidth="1" style="683" min="8713" max="8713"/>
    <col width="4.125" customWidth="1" style="683" min="8714" max="8714"/>
    <col width="3.75" customWidth="1" style="683" min="8715" max="8715"/>
    <col width="4.375" customWidth="1" style="683" min="8716" max="8716"/>
    <col width="4.625" customWidth="1" style="683" min="8717" max="8717"/>
    <col width="4.875" customWidth="1" style="683" min="8718" max="8718"/>
    <col width="6.25" customWidth="1" style="683" min="8961" max="8961"/>
    <col width="9.875" customWidth="1" style="683" min="8962" max="8962"/>
    <col width="4" customWidth="1" style="683" min="8963" max="8963"/>
    <col width="10.75" customWidth="1" style="683" min="8964" max="8964"/>
    <col width="8.5" customWidth="1" style="683" min="8965" max="8965"/>
    <col width="6" customWidth="1" style="683" min="8966" max="8966"/>
    <col width="10.5" customWidth="1" style="683" min="8967" max="8967"/>
    <col width="8.125" customWidth="1" style="683" min="8968" max="8968"/>
    <col width="5.5" customWidth="1" style="683" min="8969" max="8969"/>
    <col width="4.125" customWidth="1" style="683" min="8970" max="8970"/>
    <col width="3.75" customWidth="1" style="683" min="8971" max="8971"/>
    <col width="4.375" customWidth="1" style="683" min="8972" max="8972"/>
    <col width="4.625" customWidth="1" style="683" min="8973" max="8973"/>
    <col width="4.875" customWidth="1" style="683" min="8974" max="8974"/>
    <col width="6.25" customWidth="1" style="683" min="9217" max="9217"/>
    <col width="9.875" customWidth="1" style="683" min="9218" max="9218"/>
    <col width="4" customWidth="1" style="683" min="9219" max="9219"/>
    <col width="10.75" customWidth="1" style="683" min="9220" max="9220"/>
    <col width="8.5" customWidth="1" style="683" min="9221" max="9221"/>
    <col width="6" customWidth="1" style="683" min="9222" max="9222"/>
    <col width="10.5" customWidth="1" style="683" min="9223" max="9223"/>
    <col width="8.125" customWidth="1" style="683" min="9224" max="9224"/>
    <col width="5.5" customWidth="1" style="683" min="9225" max="9225"/>
    <col width="4.125" customWidth="1" style="683" min="9226" max="9226"/>
    <col width="3.75" customWidth="1" style="683" min="9227" max="9227"/>
    <col width="4.375" customWidth="1" style="683" min="9228" max="9228"/>
    <col width="4.625" customWidth="1" style="683" min="9229" max="9229"/>
    <col width="4.875" customWidth="1" style="683" min="9230" max="9230"/>
    <col width="6.25" customWidth="1" style="683" min="9473" max="9473"/>
    <col width="9.875" customWidth="1" style="683" min="9474" max="9474"/>
    <col width="4" customWidth="1" style="683" min="9475" max="9475"/>
    <col width="10.75" customWidth="1" style="683" min="9476" max="9476"/>
    <col width="8.5" customWidth="1" style="683" min="9477" max="9477"/>
    <col width="6" customWidth="1" style="683" min="9478" max="9478"/>
    <col width="10.5" customWidth="1" style="683" min="9479" max="9479"/>
    <col width="8.125" customWidth="1" style="683" min="9480" max="9480"/>
    <col width="5.5" customWidth="1" style="683" min="9481" max="9481"/>
    <col width="4.125" customWidth="1" style="683" min="9482" max="9482"/>
    <col width="3.75" customWidth="1" style="683" min="9483" max="9483"/>
    <col width="4.375" customWidth="1" style="683" min="9484" max="9484"/>
    <col width="4.625" customWidth="1" style="683" min="9485" max="9485"/>
    <col width="4.875" customWidth="1" style="683" min="9486" max="9486"/>
    <col width="6.25" customWidth="1" style="683" min="9729" max="9729"/>
    <col width="9.875" customWidth="1" style="683" min="9730" max="9730"/>
    <col width="4" customWidth="1" style="683" min="9731" max="9731"/>
    <col width="10.75" customWidth="1" style="683" min="9732" max="9732"/>
    <col width="8.5" customWidth="1" style="683" min="9733" max="9733"/>
    <col width="6" customWidth="1" style="683" min="9734" max="9734"/>
    <col width="10.5" customWidth="1" style="683" min="9735" max="9735"/>
    <col width="8.125" customWidth="1" style="683" min="9736" max="9736"/>
    <col width="5.5" customWidth="1" style="683" min="9737" max="9737"/>
    <col width="4.125" customWidth="1" style="683" min="9738" max="9738"/>
    <col width="3.75" customWidth="1" style="683" min="9739" max="9739"/>
    <col width="4.375" customWidth="1" style="683" min="9740" max="9740"/>
    <col width="4.625" customWidth="1" style="683" min="9741" max="9741"/>
    <col width="4.875" customWidth="1" style="683" min="9742" max="9742"/>
    <col width="6.25" customWidth="1" style="683" min="9985" max="9985"/>
    <col width="9.875" customWidth="1" style="683" min="9986" max="9986"/>
    <col width="4" customWidth="1" style="683" min="9987" max="9987"/>
    <col width="10.75" customWidth="1" style="683" min="9988" max="9988"/>
    <col width="8.5" customWidth="1" style="683" min="9989" max="9989"/>
    <col width="6" customWidth="1" style="683" min="9990" max="9990"/>
    <col width="10.5" customWidth="1" style="683" min="9991" max="9991"/>
    <col width="8.125" customWidth="1" style="683" min="9992" max="9992"/>
    <col width="5.5" customWidth="1" style="683" min="9993" max="9993"/>
    <col width="4.125" customWidth="1" style="683" min="9994" max="9994"/>
    <col width="3.75" customWidth="1" style="683" min="9995" max="9995"/>
    <col width="4.375" customWidth="1" style="683" min="9996" max="9996"/>
    <col width="4.625" customWidth="1" style="683" min="9997" max="9997"/>
    <col width="4.875" customWidth="1" style="683" min="9998" max="9998"/>
    <col width="6.25" customWidth="1" style="683" min="10241" max="10241"/>
    <col width="9.875" customWidth="1" style="683" min="10242" max="10242"/>
    <col width="4" customWidth="1" style="683" min="10243" max="10243"/>
    <col width="10.75" customWidth="1" style="683" min="10244" max="10244"/>
    <col width="8.5" customWidth="1" style="683" min="10245" max="10245"/>
    <col width="6" customWidth="1" style="683" min="10246" max="10246"/>
    <col width="10.5" customWidth="1" style="683" min="10247" max="10247"/>
    <col width="8.125" customWidth="1" style="683" min="10248" max="10248"/>
    <col width="5.5" customWidth="1" style="683" min="10249" max="10249"/>
    <col width="4.125" customWidth="1" style="683" min="10250" max="10250"/>
    <col width="3.75" customWidth="1" style="683" min="10251" max="10251"/>
    <col width="4.375" customWidth="1" style="683" min="10252" max="10252"/>
    <col width="4.625" customWidth="1" style="683" min="10253" max="10253"/>
    <col width="4.875" customWidth="1" style="683" min="10254" max="10254"/>
    <col width="6.25" customWidth="1" style="683" min="10497" max="10497"/>
    <col width="9.875" customWidth="1" style="683" min="10498" max="10498"/>
    <col width="4" customWidth="1" style="683" min="10499" max="10499"/>
    <col width="10.75" customWidth="1" style="683" min="10500" max="10500"/>
    <col width="8.5" customWidth="1" style="683" min="10501" max="10501"/>
    <col width="6" customWidth="1" style="683" min="10502" max="10502"/>
    <col width="10.5" customWidth="1" style="683" min="10503" max="10503"/>
    <col width="8.125" customWidth="1" style="683" min="10504" max="10504"/>
    <col width="5.5" customWidth="1" style="683" min="10505" max="10505"/>
    <col width="4.125" customWidth="1" style="683" min="10506" max="10506"/>
    <col width="3.75" customWidth="1" style="683" min="10507" max="10507"/>
    <col width="4.375" customWidth="1" style="683" min="10508" max="10508"/>
    <col width="4.625" customWidth="1" style="683" min="10509" max="10509"/>
    <col width="4.875" customWidth="1" style="683" min="10510" max="10510"/>
    <col width="6.25" customWidth="1" style="683" min="10753" max="10753"/>
    <col width="9.875" customWidth="1" style="683" min="10754" max="10754"/>
    <col width="4" customWidth="1" style="683" min="10755" max="10755"/>
    <col width="10.75" customWidth="1" style="683" min="10756" max="10756"/>
    <col width="8.5" customWidth="1" style="683" min="10757" max="10757"/>
    <col width="6" customWidth="1" style="683" min="10758" max="10758"/>
    <col width="10.5" customWidth="1" style="683" min="10759" max="10759"/>
    <col width="8.125" customWidth="1" style="683" min="10760" max="10760"/>
    <col width="5.5" customWidth="1" style="683" min="10761" max="10761"/>
    <col width="4.125" customWidth="1" style="683" min="10762" max="10762"/>
    <col width="3.75" customWidth="1" style="683" min="10763" max="10763"/>
    <col width="4.375" customWidth="1" style="683" min="10764" max="10764"/>
    <col width="4.625" customWidth="1" style="683" min="10765" max="10765"/>
    <col width="4.875" customWidth="1" style="683" min="10766" max="10766"/>
    <col width="6.25" customWidth="1" style="683" min="11009" max="11009"/>
    <col width="9.875" customWidth="1" style="683" min="11010" max="11010"/>
    <col width="4" customWidth="1" style="683" min="11011" max="11011"/>
    <col width="10.75" customWidth="1" style="683" min="11012" max="11012"/>
    <col width="8.5" customWidth="1" style="683" min="11013" max="11013"/>
    <col width="6" customWidth="1" style="683" min="11014" max="11014"/>
    <col width="10.5" customWidth="1" style="683" min="11015" max="11015"/>
    <col width="8.125" customWidth="1" style="683" min="11016" max="11016"/>
    <col width="5.5" customWidth="1" style="683" min="11017" max="11017"/>
    <col width="4.125" customWidth="1" style="683" min="11018" max="11018"/>
    <col width="3.75" customWidth="1" style="683" min="11019" max="11019"/>
    <col width="4.375" customWidth="1" style="683" min="11020" max="11020"/>
    <col width="4.625" customWidth="1" style="683" min="11021" max="11021"/>
    <col width="4.875" customWidth="1" style="683" min="11022" max="11022"/>
    <col width="6.25" customWidth="1" style="683" min="11265" max="11265"/>
    <col width="9.875" customWidth="1" style="683" min="11266" max="11266"/>
    <col width="4" customWidth="1" style="683" min="11267" max="11267"/>
    <col width="10.75" customWidth="1" style="683" min="11268" max="11268"/>
    <col width="8.5" customWidth="1" style="683" min="11269" max="11269"/>
    <col width="6" customWidth="1" style="683" min="11270" max="11270"/>
    <col width="10.5" customWidth="1" style="683" min="11271" max="11271"/>
    <col width="8.125" customWidth="1" style="683" min="11272" max="11272"/>
    <col width="5.5" customWidth="1" style="683" min="11273" max="11273"/>
    <col width="4.125" customWidth="1" style="683" min="11274" max="11274"/>
    <col width="3.75" customWidth="1" style="683" min="11275" max="11275"/>
    <col width="4.375" customWidth="1" style="683" min="11276" max="11276"/>
    <col width="4.625" customWidth="1" style="683" min="11277" max="11277"/>
    <col width="4.875" customWidth="1" style="683" min="11278" max="11278"/>
    <col width="6.25" customWidth="1" style="683" min="11521" max="11521"/>
    <col width="9.875" customWidth="1" style="683" min="11522" max="11522"/>
    <col width="4" customWidth="1" style="683" min="11523" max="11523"/>
    <col width="10.75" customWidth="1" style="683" min="11524" max="11524"/>
    <col width="8.5" customWidth="1" style="683" min="11525" max="11525"/>
    <col width="6" customWidth="1" style="683" min="11526" max="11526"/>
    <col width="10.5" customWidth="1" style="683" min="11527" max="11527"/>
    <col width="8.125" customWidth="1" style="683" min="11528" max="11528"/>
    <col width="5.5" customWidth="1" style="683" min="11529" max="11529"/>
    <col width="4.125" customWidth="1" style="683" min="11530" max="11530"/>
    <col width="3.75" customWidth="1" style="683" min="11531" max="11531"/>
    <col width="4.375" customWidth="1" style="683" min="11532" max="11532"/>
    <col width="4.625" customWidth="1" style="683" min="11533" max="11533"/>
    <col width="4.875" customWidth="1" style="683" min="11534" max="11534"/>
    <col width="6.25" customWidth="1" style="683" min="11777" max="11777"/>
    <col width="9.875" customWidth="1" style="683" min="11778" max="11778"/>
    <col width="4" customWidth="1" style="683" min="11779" max="11779"/>
    <col width="10.75" customWidth="1" style="683" min="11780" max="11780"/>
    <col width="8.5" customWidth="1" style="683" min="11781" max="11781"/>
    <col width="6" customWidth="1" style="683" min="11782" max="11782"/>
    <col width="10.5" customWidth="1" style="683" min="11783" max="11783"/>
    <col width="8.125" customWidth="1" style="683" min="11784" max="11784"/>
    <col width="5.5" customWidth="1" style="683" min="11785" max="11785"/>
    <col width="4.125" customWidth="1" style="683" min="11786" max="11786"/>
    <col width="3.75" customWidth="1" style="683" min="11787" max="11787"/>
    <col width="4.375" customWidth="1" style="683" min="11788" max="11788"/>
    <col width="4.625" customWidth="1" style="683" min="11789" max="11789"/>
    <col width="4.875" customWidth="1" style="683" min="11790" max="11790"/>
    <col width="6.25" customWidth="1" style="683" min="12033" max="12033"/>
    <col width="9.875" customWidth="1" style="683" min="12034" max="12034"/>
    <col width="4" customWidth="1" style="683" min="12035" max="12035"/>
    <col width="10.75" customWidth="1" style="683" min="12036" max="12036"/>
    <col width="8.5" customWidth="1" style="683" min="12037" max="12037"/>
    <col width="6" customWidth="1" style="683" min="12038" max="12038"/>
    <col width="10.5" customWidth="1" style="683" min="12039" max="12039"/>
    <col width="8.125" customWidth="1" style="683" min="12040" max="12040"/>
    <col width="5.5" customWidth="1" style="683" min="12041" max="12041"/>
    <col width="4.125" customWidth="1" style="683" min="12042" max="12042"/>
    <col width="3.75" customWidth="1" style="683" min="12043" max="12043"/>
    <col width="4.375" customWidth="1" style="683" min="12044" max="12044"/>
    <col width="4.625" customWidth="1" style="683" min="12045" max="12045"/>
    <col width="4.875" customWidth="1" style="683" min="12046" max="12046"/>
    <col width="6.25" customWidth="1" style="683" min="12289" max="12289"/>
    <col width="9.875" customWidth="1" style="683" min="12290" max="12290"/>
    <col width="4" customWidth="1" style="683" min="12291" max="12291"/>
    <col width="10.75" customWidth="1" style="683" min="12292" max="12292"/>
    <col width="8.5" customWidth="1" style="683" min="12293" max="12293"/>
    <col width="6" customWidth="1" style="683" min="12294" max="12294"/>
    <col width="10.5" customWidth="1" style="683" min="12295" max="12295"/>
    <col width="8.125" customWidth="1" style="683" min="12296" max="12296"/>
    <col width="5.5" customWidth="1" style="683" min="12297" max="12297"/>
    <col width="4.125" customWidth="1" style="683" min="12298" max="12298"/>
    <col width="3.75" customWidth="1" style="683" min="12299" max="12299"/>
    <col width="4.375" customWidth="1" style="683" min="12300" max="12300"/>
    <col width="4.625" customWidth="1" style="683" min="12301" max="12301"/>
    <col width="4.875" customWidth="1" style="683" min="12302" max="12302"/>
    <col width="6.25" customWidth="1" style="683" min="12545" max="12545"/>
    <col width="9.875" customWidth="1" style="683" min="12546" max="12546"/>
    <col width="4" customWidth="1" style="683" min="12547" max="12547"/>
    <col width="10.75" customWidth="1" style="683" min="12548" max="12548"/>
    <col width="8.5" customWidth="1" style="683" min="12549" max="12549"/>
    <col width="6" customWidth="1" style="683" min="12550" max="12550"/>
    <col width="10.5" customWidth="1" style="683" min="12551" max="12551"/>
    <col width="8.125" customWidth="1" style="683" min="12552" max="12552"/>
    <col width="5.5" customWidth="1" style="683" min="12553" max="12553"/>
    <col width="4.125" customWidth="1" style="683" min="12554" max="12554"/>
    <col width="3.75" customWidth="1" style="683" min="12555" max="12555"/>
    <col width="4.375" customWidth="1" style="683" min="12556" max="12556"/>
    <col width="4.625" customWidth="1" style="683" min="12557" max="12557"/>
    <col width="4.875" customWidth="1" style="683" min="12558" max="12558"/>
    <col width="6.25" customWidth="1" style="683" min="12801" max="12801"/>
    <col width="9.875" customWidth="1" style="683" min="12802" max="12802"/>
    <col width="4" customWidth="1" style="683" min="12803" max="12803"/>
    <col width="10.75" customWidth="1" style="683" min="12804" max="12804"/>
    <col width="8.5" customWidth="1" style="683" min="12805" max="12805"/>
    <col width="6" customWidth="1" style="683" min="12806" max="12806"/>
    <col width="10.5" customWidth="1" style="683" min="12807" max="12807"/>
    <col width="8.125" customWidth="1" style="683" min="12808" max="12808"/>
    <col width="5.5" customWidth="1" style="683" min="12809" max="12809"/>
    <col width="4.125" customWidth="1" style="683" min="12810" max="12810"/>
    <col width="3.75" customWidth="1" style="683" min="12811" max="12811"/>
    <col width="4.375" customWidth="1" style="683" min="12812" max="12812"/>
    <col width="4.625" customWidth="1" style="683" min="12813" max="12813"/>
    <col width="4.875" customWidth="1" style="683" min="12814" max="12814"/>
    <col width="6.25" customWidth="1" style="683" min="13057" max="13057"/>
    <col width="9.875" customWidth="1" style="683" min="13058" max="13058"/>
    <col width="4" customWidth="1" style="683" min="13059" max="13059"/>
    <col width="10.75" customWidth="1" style="683" min="13060" max="13060"/>
    <col width="8.5" customWidth="1" style="683" min="13061" max="13061"/>
    <col width="6" customWidth="1" style="683" min="13062" max="13062"/>
    <col width="10.5" customWidth="1" style="683" min="13063" max="13063"/>
    <col width="8.125" customWidth="1" style="683" min="13064" max="13064"/>
    <col width="5.5" customWidth="1" style="683" min="13065" max="13065"/>
    <col width="4.125" customWidth="1" style="683" min="13066" max="13066"/>
    <col width="3.75" customWidth="1" style="683" min="13067" max="13067"/>
    <col width="4.375" customWidth="1" style="683" min="13068" max="13068"/>
    <col width="4.625" customWidth="1" style="683" min="13069" max="13069"/>
    <col width="4.875" customWidth="1" style="683" min="13070" max="13070"/>
    <col width="6.25" customWidth="1" style="683" min="13313" max="13313"/>
    <col width="9.875" customWidth="1" style="683" min="13314" max="13314"/>
    <col width="4" customWidth="1" style="683" min="13315" max="13315"/>
    <col width="10.75" customWidth="1" style="683" min="13316" max="13316"/>
    <col width="8.5" customWidth="1" style="683" min="13317" max="13317"/>
    <col width="6" customWidth="1" style="683" min="13318" max="13318"/>
    <col width="10.5" customWidth="1" style="683" min="13319" max="13319"/>
    <col width="8.125" customWidth="1" style="683" min="13320" max="13320"/>
    <col width="5.5" customWidth="1" style="683" min="13321" max="13321"/>
    <col width="4.125" customWidth="1" style="683" min="13322" max="13322"/>
    <col width="3.75" customWidth="1" style="683" min="13323" max="13323"/>
    <col width="4.375" customWidth="1" style="683" min="13324" max="13324"/>
    <col width="4.625" customWidth="1" style="683" min="13325" max="13325"/>
    <col width="4.875" customWidth="1" style="683" min="13326" max="13326"/>
    <col width="6.25" customWidth="1" style="683" min="13569" max="13569"/>
    <col width="9.875" customWidth="1" style="683" min="13570" max="13570"/>
    <col width="4" customWidth="1" style="683" min="13571" max="13571"/>
    <col width="10.75" customWidth="1" style="683" min="13572" max="13572"/>
    <col width="8.5" customWidth="1" style="683" min="13573" max="13573"/>
    <col width="6" customWidth="1" style="683" min="13574" max="13574"/>
    <col width="10.5" customWidth="1" style="683" min="13575" max="13575"/>
    <col width="8.125" customWidth="1" style="683" min="13576" max="13576"/>
    <col width="5.5" customWidth="1" style="683" min="13577" max="13577"/>
    <col width="4.125" customWidth="1" style="683" min="13578" max="13578"/>
    <col width="3.75" customWidth="1" style="683" min="13579" max="13579"/>
    <col width="4.375" customWidth="1" style="683" min="13580" max="13580"/>
    <col width="4.625" customWidth="1" style="683" min="13581" max="13581"/>
    <col width="4.875" customWidth="1" style="683" min="13582" max="13582"/>
    <col width="6.25" customWidth="1" style="683" min="13825" max="13825"/>
    <col width="9.875" customWidth="1" style="683" min="13826" max="13826"/>
    <col width="4" customWidth="1" style="683" min="13827" max="13827"/>
    <col width="10.75" customWidth="1" style="683" min="13828" max="13828"/>
    <col width="8.5" customWidth="1" style="683" min="13829" max="13829"/>
    <col width="6" customWidth="1" style="683" min="13830" max="13830"/>
    <col width="10.5" customWidth="1" style="683" min="13831" max="13831"/>
    <col width="8.125" customWidth="1" style="683" min="13832" max="13832"/>
    <col width="5.5" customWidth="1" style="683" min="13833" max="13833"/>
    <col width="4.125" customWidth="1" style="683" min="13834" max="13834"/>
    <col width="3.75" customWidth="1" style="683" min="13835" max="13835"/>
    <col width="4.375" customWidth="1" style="683" min="13836" max="13836"/>
    <col width="4.625" customWidth="1" style="683" min="13837" max="13837"/>
    <col width="4.875" customWidth="1" style="683" min="13838" max="13838"/>
    <col width="6.25" customWidth="1" style="683" min="14081" max="14081"/>
    <col width="9.875" customWidth="1" style="683" min="14082" max="14082"/>
    <col width="4" customWidth="1" style="683" min="14083" max="14083"/>
    <col width="10.75" customWidth="1" style="683" min="14084" max="14084"/>
    <col width="8.5" customWidth="1" style="683" min="14085" max="14085"/>
    <col width="6" customWidth="1" style="683" min="14086" max="14086"/>
    <col width="10.5" customWidth="1" style="683" min="14087" max="14087"/>
    <col width="8.125" customWidth="1" style="683" min="14088" max="14088"/>
    <col width="5.5" customWidth="1" style="683" min="14089" max="14089"/>
    <col width="4.125" customWidth="1" style="683" min="14090" max="14090"/>
    <col width="3.75" customWidth="1" style="683" min="14091" max="14091"/>
    <col width="4.375" customWidth="1" style="683" min="14092" max="14092"/>
    <col width="4.625" customWidth="1" style="683" min="14093" max="14093"/>
    <col width="4.875" customWidth="1" style="683" min="14094" max="14094"/>
    <col width="6.25" customWidth="1" style="683" min="14337" max="14337"/>
    <col width="9.875" customWidth="1" style="683" min="14338" max="14338"/>
    <col width="4" customWidth="1" style="683" min="14339" max="14339"/>
    <col width="10.75" customWidth="1" style="683" min="14340" max="14340"/>
    <col width="8.5" customWidth="1" style="683" min="14341" max="14341"/>
    <col width="6" customWidth="1" style="683" min="14342" max="14342"/>
    <col width="10.5" customWidth="1" style="683" min="14343" max="14343"/>
    <col width="8.125" customWidth="1" style="683" min="14344" max="14344"/>
    <col width="5.5" customWidth="1" style="683" min="14345" max="14345"/>
    <col width="4.125" customWidth="1" style="683" min="14346" max="14346"/>
    <col width="3.75" customWidth="1" style="683" min="14347" max="14347"/>
    <col width="4.375" customWidth="1" style="683" min="14348" max="14348"/>
    <col width="4.625" customWidth="1" style="683" min="14349" max="14349"/>
    <col width="4.875" customWidth="1" style="683" min="14350" max="14350"/>
    <col width="6.25" customWidth="1" style="683" min="14593" max="14593"/>
    <col width="9.875" customWidth="1" style="683" min="14594" max="14594"/>
    <col width="4" customWidth="1" style="683" min="14595" max="14595"/>
    <col width="10.75" customWidth="1" style="683" min="14596" max="14596"/>
    <col width="8.5" customWidth="1" style="683" min="14597" max="14597"/>
    <col width="6" customWidth="1" style="683" min="14598" max="14598"/>
    <col width="10.5" customWidth="1" style="683" min="14599" max="14599"/>
    <col width="8.125" customWidth="1" style="683" min="14600" max="14600"/>
    <col width="5.5" customWidth="1" style="683" min="14601" max="14601"/>
    <col width="4.125" customWidth="1" style="683" min="14602" max="14602"/>
    <col width="3.75" customWidth="1" style="683" min="14603" max="14603"/>
    <col width="4.375" customWidth="1" style="683" min="14604" max="14604"/>
    <col width="4.625" customWidth="1" style="683" min="14605" max="14605"/>
    <col width="4.875" customWidth="1" style="683" min="14606" max="14606"/>
    <col width="6.25" customWidth="1" style="683" min="14849" max="14849"/>
    <col width="9.875" customWidth="1" style="683" min="14850" max="14850"/>
    <col width="4" customWidth="1" style="683" min="14851" max="14851"/>
    <col width="10.75" customWidth="1" style="683" min="14852" max="14852"/>
    <col width="8.5" customWidth="1" style="683" min="14853" max="14853"/>
    <col width="6" customWidth="1" style="683" min="14854" max="14854"/>
    <col width="10.5" customWidth="1" style="683" min="14855" max="14855"/>
    <col width="8.125" customWidth="1" style="683" min="14856" max="14856"/>
    <col width="5.5" customWidth="1" style="683" min="14857" max="14857"/>
    <col width="4.125" customWidth="1" style="683" min="14858" max="14858"/>
    <col width="3.75" customWidth="1" style="683" min="14859" max="14859"/>
    <col width="4.375" customWidth="1" style="683" min="14860" max="14860"/>
    <col width="4.625" customWidth="1" style="683" min="14861" max="14861"/>
    <col width="4.875" customWidth="1" style="683" min="14862" max="14862"/>
    <col width="6.25" customWidth="1" style="683" min="15105" max="15105"/>
    <col width="9.875" customWidth="1" style="683" min="15106" max="15106"/>
    <col width="4" customWidth="1" style="683" min="15107" max="15107"/>
    <col width="10.75" customWidth="1" style="683" min="15108" max="15108"/>
    <col width="8.5" customWidth="1" style="683" min="15109" max="15109"/>
    <col width="6" customWidth="1" style="683" min="15110" max="15110"/>
    <col width="10.5" customWidth="1" style="683" min="15111" max="15111"/>
    <col width="8.125" customWidth="1" style="683" min="15112" max="15112"/>
    <col width="5.5" customWidth="1" style="683" min="15113" max="15113"/>
    <col width="4.125" customWidth="1" style="683" min="15114" max="15114"/>
    <col width="3.75" customWidth="1" style="683" min="15115" max="15115"/>
    <col width="4.375" customWidth="1" style="683" min="15116" max="15116"/>
    <col width="4.625" customWidth="1" style="683" min="15117" max="15117"/>
    <col width="4.875" customWidth="1" style="683" min="15118" max="15118"/>
    <col width="6.25" customWidth="1" style="683" min="15361" max="15361"/>
    <col width="9.875" customWidth="1" style="683" min="15362" max="15362"/>
    <col width="4" customWidth="1" style="683" min="15363" max="15363"/>
    <col width="10.75" customWidth="1" style="683" min="15364" max="15364"/>
    <col width="8.5" customWidth="1" style="683" min="15365" max="15365"/>
    <col width="6" customWidth="1" style="683" min="15366" max="15366"/>
    <col width="10.5" customWidth="1" style="683" min="15367" max="15367"/>
    <col width="8.125" customWidth="1" style="683" min="15368" max="15368"/>
    <col width="5.5" customWidth="1" style="683" min="15369" max="15369"/>
    <col width="4.125" customWidth="1" style="683" min="15370" max="15370"/>
    <col width="3.75" customWidth="1" style="683" min="15371" max="15371"/>
    <col width="4.375" customWidth="1" style="683" min="15372" max="15372"/>
    <col width="4.625" customWidth="1" style="683" min="15373" max="15373"/>
    <col width="4.875" customWidth="1" style="683" min="15374" max="15374"/>
    <col width="6.25" customWidth="1" style="683" min="15617" max="15617"/>
    <col width="9.875" customWidth="1" style="683" min="15618" max="15618"/>
    <col width="4" customWidth="1" style="683" min="15619" max="15619"/>
    <col width="10.75" customWidth="1" style="683" min="15620" max="15620"/>
    <col width="8.5" customWidth="1" style="683" min="15621" max="15621"/>
    <col width="6" customWidth="1" style="683" min="15622" max="15622"/>
    <col width="10.5" customWidth="1" style="683" min="15623" max="15623"/>
    <col width="8.125" customWidth="1" style="683" min="15624" max="15624"/>
    <col width="5.5" customWidth="1" style="683" min="15625" max="15625"/>
    <col width="4.125" customWidth="1" style="683" min="15626" max="15626"/>
    <col width="3.75" customWidth="1" style="683" min="15627" max="15627"/>
    <col width="4.375" customWidth="1" style="683" min="15628" max="15628"/>
    <col width="4.625" customWidth="1" style="683" min="15629" max="15629"/>
    <col width="4.875" customWidth="1" style="683" min="15630" max="15630"/>
    <col width="6.25" customWidth="1" style="683" min="15873" max="15873"/>
    <col width="9.875" customWidth="1" style="683" min="15874" max="15874"/>
    <col width="4" customWidth="1" style="683" min="15875" max="15875"/>
    <col width="10.75" customWidth="1" style="683" min="15876" max="15876"/>
    <col width="8.5" customWidth="1" style="683" min="15877" max="15877"/>
    <col width="6" customWidth="1" style="683" min="15878" max="15878"/>
    <col width="10.5" customWidth="1" style="683" min="15879" max="15879"/>
    <col width="8.125" customWidth="1" style="683" min="15880" max="15880"/>
    <col width="5.5" customWidth="1" style="683" min="15881" max="15881"/>
    <col width="4.125" customWidth="1" style="683" min="15882" max="15882"/>
    <col width="3.75" customWidth="1" style="683" min="15883" max="15883"/>
    <col width="4.375" customWidth="1" style="683" min="15884" max="15884"/>
    <col width="4.625" customWidth="1" style="683" min="15885" max="15885"/>
    <col width="4.875" customWidth="1" style="683" min="15886" max="15886"/>
    <col width="6.25" customWidth="1" style="683" min="16129" max="16129"/>
    <col width="9.875" customWidth="1" style="683" min="16130" max="16130"/>
    <col width="4" customWidth="1" style="683" min="16131" max="16131"/>
    <col width="10.75" customWidth="1" style="683" min="16132" max="16132"/>
    <col width="8.5" customWidth="1" style="683" min="16133" max="16133"/>
    <col width="6" customWidth="1" style="683" min="16134" max="16134"/>
    <col width="10.5" customWidth="1" style="683" min="16135" max="16135"/>
    <col width="8.125" customWidth="1" style="683" min="16136" max="16136"/>
    <col width="5.5" customWidth="1" style="683" min="16137" max="16137"/>
    <col width="4.125" customWidth="1" style="683" min="16138" max="16138"/>
    <col width="3.75" customWidth="1" style="683" min="16139" max="16139"/>
    <col width="4.375" customWidth="1" style="683" min="16140" max="16140"/>
    <col width="4.625" customWidth="1" style="683" min="16141" max="16141"/>
    <col width="4.875" customWidth="1" style="683" min="16142" max="16142"/>
  </cols>
  <sheetData>
    <row r="1" ht="18" customHeight="1" s="683">
      <c r="A1" s="961">
        <f>CONCATENATE(輸入!S18,輸入!T18,CHAR(10),輸入!S19,輸入!T19)</f>
        <v/>
      </c>
      <c r="B1" s="582" t="n"/>
      <c r="C1" s="582" t="n"/>
      <c r="D1" s="955" t="inlineStr">
        <is>
          <t>刑事案件</t>
        </is>
      </c>
      <c r="E1" s="582" t="n"/>
      <c r="F1" s="582" t="n"/>
      <c r="G1" s="930" t="inlineStr">
        <is>
          <t>報告單</t>
        </is>
      </c>
      <c r="H1" s="952" t="inlineStr">
        <is>
          <t>中華
民國</t>
        </is>
      </c>
      <c r="I1" s="931">
        <f>LEFT(下拉用!$J$5,10)</f>
        <v/>
      </c>
      <c r="J1" s="582" t="n"/>
      <c r="K1" s="582" t="n"/>
      <c r="L1" s="582" t="n"/>
      <c r="M1" s="582" t="n"/>
      <c r="N1" s="583" t="n"/>
      <c r="O1" s="608" t="n"/>
      <c r="P1" s="608" t="n"/>
      <c r="Q1" s="608" t="n"/>
      <c r="R1" s="608" t="n"/>
      <c r="S1" s="608" t="n"/>
      <c r="T1" s="608" t="n"/>
      <c r="U1" s="608" t="n"/>
      <c r="V1" s="608" t="n"/>
      <c r="W1" s="608" t="n"/>
      <c r="X1" s="608" t="n"/>
      <c r="Y1" s="608" t="n"/>
      <c r="Z1" s="608" t="n"/>
      <c r="AA1" s="608" t="n"/>
      <c r="AB1" s="608" t="n"/>
      <c r="AC1" s="608" t="n"/>
      <c r="AD1" s="608" t="n"/>
      <c r="AE1" s="608" t="n"/>
      <c r="AF1" s="608" t="n"/>
      <c r="AG1" s="608" t="n"/>
      <c r="AH1" s="608" t="n"/>
      <c r="AI1" s="608" t="n"/>
      <c r="AJ1" s="608" t="n"/>
      <c r="AK1" s="608" t="n"/>
      <c r="AL1" s="608" t="n"/>
      <c r="AM1" s="608" t="n"/>
    </row>
    <row r="2" ht="18" customHeight="1" s="683">
      <c r="A2" s="607" t="n"/>
      <c r="D2" s="929" t="inlineStr">
        <is>
          <t>違反社會秩序維護法案件</t>
        </is>
      </c>
      <c r="N2" s="609" t="n"/>
      <c r="O2" s="608" t="n"/>
      <c r="P2" s="608" t="n"/>
      <c r="Q2" s="608" t="n"/>
      <c r="R2" s="608" t="n"/>
      <c r="S2" s="608" t="n"/>
      <c r="T2" s="608" t="n"/>
      <c r="U2" s="608" t="n"/>
      <c r="V2" s="608" t="n"/>
      <c r="W2" s="608" t="n"/>
      <c r="X2" s="608" t="n"/>
      <c r="Y2" s="608" t="n"/>
      <c r="Z2" s="608" t="n"/>
      <c r="AA2" s="608" t="n"/>
      <c r="AB2" s="608" t="n"/>
      <c r="AC2" s="608" t="n"/>
      <c r="AD2" s="608" t="n"/>
      <c r="AE2" s="608" t="n"/>
      <c r="AF2" s="608" t="n"/>
      <c r="AG2" s="608" t="n"/>
      <c r="AH2" s="608" t="n"/>
      <c r="AI2" s="608" t="n"/>
      <c r="AJ2" s="608" t="n"/>
      <c r="AK2" s="608" t="n"/>
      <c r="AL2" s="608" t="n"/>
      <c r="AM2" s="608" t="n"/>
    </row>
    <row r="3" ht="18" customHeight="1" s="683">
      <c r="A3" s="584" t="n"/>
      <c r="B3" s="585" t="n"/>
      <c r="C3" s="585" t="n"/>
      <c r="D3" s="951" t="inlineStr">
        <is>
          <t>違反行政法令案件</t>
        </is>
      </c>
      <c r="E3" s="585" t="n"/>
      <c r="F3" s="585" t="n"/>
      <c r="G3" s="585" t="n"/>
      <c r="H3" s="958" t="inlineStr">
        <is>
          <t>北市警信分刑字第</t>
        </is>
      </c>
      <c r="I3" s="585" t="n"/>
      <c r="J3" s="937" t="n"/>
      <c r="K3" s="585" t="n"/>
      <c r="L3" s="585" t="n"/>
      <c r="M3" s="585" t="n"/>
      <c r="N3" s="307" t="inlineStr">
        <is>
          <t>號</t>
        </is>
      </c>
      <c r="O3" s="608" t="n"/>
      <c r="P3" s="608" t="n"/>
      <c r="Q3" s="608" t="n"/>
      <c r="R3" s="608" t="n"/>
      <c r="S3" s="608" t="n"/>
      <c r="T3" s="608" t="n"/>
      <c r="U3" s="608" t="n"/>
      <c r="V3" s="608" t="n"/>
      <c r="W3" s="608" t="n"/>
      <c r="X3" s="608" t="n"/>
      <c r="Y3" s="608" t="n"/>
      <c r="Z3" s="608" t="n"/>
      <c r="AA3" s="608" t="n"/>
      <c r="AB3" s="608" t="n"/>
      <c r="AC3" s="608" t="n"/>
      <c r="AD3" s="608" t="n"/>
      <c r="AE3" s="608" t="n"/>
      <c r="AF3" s="608" t="n"/>
      <c r="AG3" s="608" t="n"/>
      <c r="AH3" s="608" t="n"/>
      <c r="AI3" s="608" t="n"/>
      <c r="AJ3" s="608" t="n"/>
      <c r="AK3" s="608" t="n"/>
      <c r="AL3" s="608" t="n"/>
      <c r="AM3" s="608" t="n"/>
    </row>
    <row r="4" ht="22.5" customHeight="1" s="683">
      <c r="A4" s="944" t="inlineStr">
        <is>
          <t>嫌疑人</t>
        </is>
      </c>
      <c r="B4" s="602" t="inlineStr">
        <is>
          <t>姓名</t>
        </is>
      </c>
      <c r="C4" s="621" t="inlineStr">
        <is>
          <t>性別</t>
        </is>
      </c>
      <c r="D4" s="602" t="inlineStr">
        <is>
          <t>出生年月日</t>
        </is>
      </c>
      <c r="E4" s="602" t="inlineStr">
        <is>
          <t>出生地</t>
        </is>
      </c>
      <c r="F4" s="602" t="inlineStr">
        <is>
          <t>職業</t>
        </is>
      </c>
      <c r="G4" s="602" t="inlineStr">
        <is>
          <t>身分證字號</t>
        </is>
      </c>
      <c r="H4" s="602" t="inlineStr">
        <is>
          <t>住址</t>
        </is>
      </c>
      <c r="I4" s="579" t="n"/>
      <c r="J4" s="576" t="n"/>
      <c r="K4" s="602" t="inlineStr">
        <is>
          <t>素行</t>
        </is>
      </c>
      <c r="L4" s="576" t="n"/>
      <c r="M4" s="602" t="inlineStr">
        <is>
          <t>備考</t>
        </is>
      </c>
      <c r="N4" s="576" t="n"/>
      <c r="O4" s="608" t="n"/>
      <c r="P4" s="608" t="n"/>
      <c r="Q4" s="608" t="n"/>
      <c r="R4" s="608" t="n"/>
      <c r="S4" s="608" t="n"/>
      <c r="T4" s="608" t="n"/>
      <c r="U4" s="608" t="n"/>
      <c r="V4" s="608" t="n"/>
      <c r="W4" s="608" t="n"/>
      <c r="X4" s="608" t="n"/>
      <c r="Y4" s="608" t="n"/>
      <c r="Z4" s="608" t="n"/>
      <c r="AA4" s="608" t="n"/>
      <c r="AB4" s="608" t="n"/>
      <c r="AC4" s="608" t="n"/>
      <c r="AD4" s="608" t="n"/>
      <c r="AE4" s="608" t="n"/>
      <c r="AF4" s="608" t="n"/>
      <c r="AG4" s="608" t="n"/>
      <c r="AH4" s="608" t="n"/>
      <c r="AI4" s="608" t="n"/>
      <c r="AJ4" s="608" t="n"/>
      <c r="AK4" s="608" t="n"/>
      <c r="AL4" s="608" t="n"/>
      <c r="AM4" s="608" t="n"/>
    </row>
    <row r="5" ht="38.25" customHeight="1" s="683">
      <c r="A5" s="945" t="n"/>
      <c r="B5" s="602" t="inlineStr">
        <is>
          <t>廖志盛</t>
        </is>
      </c>
      <c r="C5" s="602">
        <f>VLOOKUP($B$5,個資,11,FALSE)</f>
        <v/>
      </c>
      <c r="D5" s="602">
        <f>VLOOKUP($B$5,個資,16,FALSE)</f>
        <v/>
      </c>
      <c r="E5" s="602">
        <f>VLOOKUP($B$5,個資,3,FALSE)</f>
        <v/>
      </c>
      <c r="F5" s="602">
        <f>VLOOKUP($B$5,個資,8,FALSE)</f>
        <v/>
      </c>
      <c r="G5" s="602">
        <f>UPPER(VLOOKUP($B$5,個資,2,FALSE))</f>
        <v/>
      </c>
      <c r="H5" s="613">
        <f>VLOOKUP($B$5,個資,6,FALSE)</f>
        <v/>
      </c>
      <c r="I5" s="579" t="n"/>
      <c r="J5" s="576" t="n"/>
      <c r="K5" s="613" t="inlineStr">
        <is>
          <t>詳如素行</t>
        </is>
      </c>
      <c r="L5" s="576" t="n"/>
      <c r="M5" s="602">
        <f>IF($B$5="","",VLOOKUP($B$5,個資,12,FALSE))</f>
        <v/>
      </c>
      <c r="N5" s="576" t="n"/>
      <c r="O5" s="608" t="n"/>
      <c r="P5" s="608" t="n"/>
      <c r="Q5" s="608" t="n"/>
      <c r="R5" s="608" t="n"/>
      <c r="S5" s="608" t="n"/>
      <c r="T5" s="608" t="n"/>
      <c r="U5" s="608" t="n"/>
      <c r="V5" s="608" t="n"/>
      <c r="W5" s="608" t="n"/>
      <c r="X5" s="608" t="n"/>
      <c r="Y5" s="608" t="n"/>
      <c r="Z5" s="608" t="n"/>
      <c r="AA5" s="608" t="n"/>
      <c r="AB5" s="608" t="n"/>
      <c r="AC5" s="608" t="n"/>
      <c r="AD5" s="608" t="n"/>
      <c r="AE5" s="608" t="n"/>
      <c r="AF5" s="608" t="n"/>
      <c r="AG5" s="608" t="n"/>
      <c r="AH5" s="608" t="n"/>
      <c r="AI5" s="608" t="n"/>
      <c r="AJ5" s="608" t="n"/>
      <c r="AK5" s="608" t="n"/>
      <c r="AL5" s="608" t="n"/>
      <c r="AM5" s="608" t="n"/>
    </row>
    <row r="6" ht="39" customHeight="1" s="683">
      <c r="A6" s="588" t="n"/>
      <c r="B6" s="602" t="n"/>
      <c r="C6" s="602">
        <f>IFERROR(IF($B$6="","",VLOOKUP($B$6,個資,11,FALSE)),"")</f>
        <v/>
      </c>
      <c r="D6" s="602">
        <f>IFERROR(IF($B$6="","",VLOOKUP($B$6,個資,16,FALSE)),"")</f>
        <v/>
      </c>
      <c r="E6" s="602">
        <f>IFERROR(IF($B$6="","",VLOOKUP($B$6,個資,3,FALSE)),"")</f>
        <v/>
      </c>
      <c r="F6" s="602">
        <f>IFERROR(IF($B$6="","",VLOOKUP($B$6,個資,8,FALSE)),"")</f>
        <v/>
      </c>
      <c r="G6" s="602">
        <f>IFERROR(IF($B$6="","",UPPER(VLOOKUP($B$6,個資,2,FALSE))),"")</f>
        <v/>
      </c>
      <c r="H6" s="613">
        <f>IFERROR(IF($B$6="","",VLOOKUP($B$6,個資,6,FALSE)),"")</f>
        <v/>
      </c>
      <c r="I6" s="579" t="n"/>
      <c r="J6" s="576" t="n"/>
      <c r="K6" s="602" t="n"/>
      <c r="L6" s="576" t="n"/>
      <c r="M6" s="602">
        <f>IFERROR(IF($B$6="","",IF($B$6="","",VLOOKUP($B$6,個資,12,FALSE))),"")</f>
        <v/>
      </c>
      <c r="N6" s="576" t="n"/>
      <c r="O6" s="608" t="n"/>
      <c r="P6" s="608" t="n"/>
      <c r="Q6" s="608" t="n"/>
      <c r="R6" s="608" t="n"/>
      <c r="S6" s="608" t="n"/>
      <c r="T6" s="608" t="n"/>
      <c r="U6" s="608" t="n"/>
      <c r="V6" s="608" t="n"/>
      <c r="W6" s="608" t="n"/>
      <c r="X6" s="608" t="n"/>
      <c r="Y6" s="608" t="n"/>
      <c r="Z6" s="608" t="n"/>
      <c r="AA6" s="608" t="n"/>
      <c r="AB6" s="608" t="n"/>
      <c r="AC6" s="608" t="n"/>
      <c r="AD6" s="608" t="n"/>
      <c r="AE6" s="608" t="n"/>
      <c r="AF6" s="608" t="n"/>
      <c r="AG6" s="608" t="n"/>
      <c r="AH6" s="608" t="n"/>
      <c r="AI6" s="608" t="n"/>
      <c r="AJ6" s="608" t="n"/>
      <c r="AK6" s="608" t="n"/>
      <c r="AL6" s="608" t="n"/>
      <c r="AM6" s="608" t="n"/>
    </row>
    <row r="7" ht="34.5" customHeight="1" s="683">
      <c r="A7" s="959" t="inlineStr">
        <is>
          <t>刑案關係人</t>
        </is>
      </c>
      <c r="B7" s="602" t="inlineStr">
        <is>
          <t>姓名</t>
        </is>
      </c>
      <c r="C7" s="621" t="inlineStr">
        <is>
          <t>性別</t>
        </is>
      </c>
      <c r="D7" s="602" t="inlineStr">
        <is>
          <t>住址</t>
        </is>
      </c>
      <c r="E7" s="576" t="n"/>
      <c r="F7" s="613" t="inlineStr">
        <is>
          <t>何種
關係</t>
        </is>
      </c>
      <c r="G7" s="602" t="inlineStr">
        <is>
          <t>姓名</t>
        </is>
      </c>
      <c r="H7" s="602" t="inlineStr">
        <is>
          <t>性別</t>
        </is>
      </c>
      <c r="I7" s="602" t="inlineStr">
        <is>
          <t>住址</t>
        </is>
      </c>
      <c r="J7" s="579" t="n"/>
      <c r="K7" s="579" t="n"/>
      <c r="L7" s="576" t="n"/>
      <c r="M7" s="613" t="inlineStr">
        <is>
          <t>何種
關係</t>
        </is>
      </c>
      <c r="N7" s="576" t="n"/>
      <c r="O7" s="608" t="n"/>
      <c r="P7" s="608" t="n"/>
      <c r="Q7" s="608" t="n"/>
      <c r="R7" s="608" t="n"/>
      <c r="S7" s="608" t="n"/>
      <c r="T7" s="608" t="n"/>
      <c r="U7" s="608" t="n"/>
      <c r="V7" s="608" t="n"/>
      <c r="W7" s="608" t="n"/>
      <c r="X7" s="608" t="n"/>
      <c r="Y7" s="608" t="n"/>
      <c r="Z7" s="608" t="n"/>
      <c r="AA7" s="608" t="n"/>
      <c r="AB7" s="608" t="n"/>
      <c r="AC7" s="608" t="n"/>
      <c r="AD7" s="608" t="n"/>
      <c r="AE7" s="608" t="n"/>
      <c r="AF7" s="608" t="n"/>
      <c r="AG7" s="608" t="n"/>
      <c r="AH7" s="608" t="n"/>
      <c r="AI7" s="608" t="n"/>
      <c r="AJ7" s="608" t="n"/>
      <c r="AK7" s="608" t="n"/>
      <c r="AL7" s="608" t="n"/>
      <c r="AM7" s="608" t="n"/>
    </row>
    <row r="8" ht="21" customHeight="1" s="683">
      <c r="A8" s="945" t="n"/>
      <c r="B8" s="621" t="n"/>
      <c r="C8" s="621">
        <f>IFERROR(IF($B$8="","",VLOOKUP($B$8,個資,11,FALSE)),"")</f>
        <v/>
      </c>
      <c r="D8" s="935">
        <f>IFERROR(IF($B$8="","",VLOOKUP($B$8,個資,6,FALSE)),"")</f>
        <v/>
      </c>
      <c r="E8" s="576" t="n"/>
      <c r="F8" s="621">
        <f>IFERROR(IF($B$8="","",IF($B$8="","",VLOOKUP($B$8,個資,12,FALSE))),"")</f>
        <v/>
      </c>
      <c r="G8" s="621" t="n"/>
      <c r="H8" s="621">
        <f>IFERROR(IF($G$8="","",VLOOKUP($G$8,個資,11,FALSE)),"")</f>
        <v/>
      </c>
      <c r="I8" s="935">
        <f>IFERROR(IF($G$8="","",VLOOKUP($G$8,個資,6,FALSE)),"")</f>
        <v/>
      </c>
      <c r="J8" s="579" t="n"/>
      <c r="K8" s="579" t="n"/>
      <c r="L8" s="576" t="n"/>
      <c r="M8" s="621">
        <f>IFERROR(IF($G$8="","",IF($G$8="","",VLOOKUP($G$8,個資,12,FALSE))),"")</f>
        <v/>
      </c>
      <c r="N8" s="576" t="n"/>
      <c r="O8" s="608" t="n"/>
      <c r="P8" s="608" t="n"/>
      <c r="Q8" s="608" t="n"/>
      <c r="R8" s="608" t="n"/>
      <c r="S8" s="608" t="n"/>
      <c r="T8" s="608" t="n"/>
      <c r="U8" s="608" t="n"/>
      <c r="V8" s="608" t="n"/>
      <c r="W8" s="608" t="n"/>
      <c r="X8" s="608" t="n"/>
      <c r="Y8" s="608" t="n"/>
      <c r="Z8" s="608" t="n"/>
      <c r="AA8" s="608" t="n"/>
      <c r="AB8" s="608" t="n"/>
      <c r="AC8" s="608" t="n"/>
      <c r="AD8" s="608" t="n"/>
      <c r="AE8" s="608" t="n"/>
      <c r="AF8" s="608" t="n"/>
      <c r="AG8" s="608" t="n"/>
      <c r="AH8" s="608" t="n"/>
      <c r="AI8" s="608" t="n"/>
      <c r="AJ8" s="608" t="n"/>
      <c r="AK8" s="608" t="n"/>
      <c r="AL8" s="608" t="n"/>
      <c r="AM8" s="608" t="n"/>
    </row>
    <row r="9" ht="23.25" customHeight="1" s="683">
      <c r="A9" s="588" t="n"/>
      <c r="B9" s="621" t="n"/>
      <c r="C9" s="621">
        <f>IFERROR(IF($B$9="","",VLOOKUP($B$9,個資,11,FALSE)),"")</f>
        <v/>
      </c>
      <c r="D9" s="935">
        <f>IFERROR(IF($B$9="","",VLOOKUP($B$9,個資,6,FALSE)),"")</f>
        <v/>
      </c>
      <c r="E9" s="576" t="n"/>
      <c r="F9" s="621">
        <f>IFERROR(IF($B$9="","",IF($B$9="","",VLOOKUP($B$9,個資,12,FALSE))),"")</f>
        <v/>
      </c>
      <c r="G9" s="621" t="n"/>
      <c r="H9" s="621">
        <f>IFERROR(IF($G$9="","",VLOOKUP($G$9,個資,11,FALSE)),"")</f>
        <v/>
      </c>
      <c r="I9" s="935">
        <f>IFERROR(IF($G$9="","",VLOOKUP($G$9,個資,6,FALSE)),"")</f>
        <v/>
      </c>
      <c r="J9" s="579" t="n"/>
      <c r="K9" s="579" t="n"/>
      <c r="L9" s="576" t="n"/>
      <c r="M9" s="621">
        <f>IFERROR(IF($G$9="","",IF($G$9="","",VLOOKUP($G$9,個資,12,FALSE))),"")</f>
        <v/>
      </c>
      <c r="N9" s="576" t="n"/>
      <c r="O9" s="608" t="n"/>
      <c r="P9" s="608" t="n"/>
      <c r="Q9" s="608" t="n"/>
      <c r="R9" s="608" t="n"/>
      <c r="S9" s="608" t="n"/>
      <c r="T9" s="608" t="n"/>
      <c r="U9" s="608" t="n"/>
      <c r="V9" s="608" t="n"/>
      <c r="W9" s="608" t="n"/>
      <c r="X9" s="608" t="n"/>
      <c r="Y9" s="608" t="n"/>
      <c r="Z9" s="608" t="n"/>
      <c r="AA9" s="608" t="n"/>
      <c r="AB9" s="608" t="n"/>
      <c r="AC9" s="608" t="n"/>
      <c r="AD9" s="608" t="n"/>
      <c r="AE9" s="608" t="n"/>
      <c r="AF9" s="608" t="n"/>
      <c r="AG9" s="608" t="n"/>
      <c r="AH9" s="608" t="n"/>
      <c r="AI9" s="608" t="n"/>
      <c r="AJ9" s="608" t="n"/>
      <c r="AK9" s="608" t="n"/>
      <c r="AL9" s="608" t="n"/>
      <c r="AM9" s="608" t="n"/>
    </row>
    <row r="10" ht="45.6" customHeight="1" s="683">
      <c r="A10" s="947" t="inlineStr">
        <is>
          <t>違犯事實</t>
        </is>
      </c>
      <c r="B10" s="939">
        <f>呈報單!$F$16</f>
        <v/>
      </c>
      <c r="C10" s="582" t="n"/>
      <c r="D10" s="582" t="n"/>
      <c r="E10" s="582" t="n"/>
      <c r="F10" s="582" t="n"/>
      <c r="G10" s="583" t="n"/>
      <c r="H10" s="602" t="inlineStr">
        <is>
          <t>時間</t>
        </is>
      </c>
      <c r="I10" s="602">
        <f>下拉用!$J$5</f>
        <v/>
      </c>
      <c r="J10" s="579" t="n"/>
      <c r="K10" s="579" t="n"/>
      <c r="L10" s="579" t="n"/>
      <c r="M10" s="579" t="n"/>
      <c r="N10" s="576" t="n"/>
      <c r="O10" s="608" t="n"/>
      <c r="P10" s="608" t="n"/>
      <c r="Q10" s="608" t="n"/>
      <c r="R10" s="608" t="n"/>
      <c r="S10" s="608" t="n"/>
      <c r="T10" s="608" t="n"/>
      <c r="U10" s="608" t="n"/>
      <c r="V10" s="608" t="n"/>
      <c r="W10" s="608" t="n"/>
      <c r="X10" s="608" t="n"/>
      <c r="Y10" s="608" t="n"/>
      <c r="Z10" s="608" t="n"/>
      <c r="AA10" s="608" t="n"/>
      <c r="AB10" s="608" t="n"/>
      <c r="AC10" s="608" t="n"/>
      <c r="AD10" s="608" t="n"/>
      <c r="AE10" s="608" t="n"/>
      <c r="AF10" s="608" t="n"/>
      <c r="AG10" s="608" t="n"/>
      <c r="AH10" s="608" t="n"/>
      <c r="AI10" s="608" t="n"/>
      <c r="AJ10" s="608" t="n"/>
      <c r="AK10" s="608" t="n"/>
      <c r="AL10" s="608" t="n"/>
      <c r="AM10" s="608" t="n"/>
    </row>
    <row r="11" ht="44.25" customHeight="1" s="683">
      <c r="A11" s="945" t="n"/>
      <c r="B11" s="607" t="n"/>
      <c r="G11" s="609" t="n"/>
      <c r="H11" s="602" t="inlineStr">
        <is>
          <t>處所</t>
        </is>
      </c>
      <c r="I11" s="960">
        <f>輸入!$C$7</f>
        <v/>
      </c>
      <c r="J11" s="579" t="n"/>
      <c r="K11" s="579" t="n"/>
      <c r="L11" s="579" t="n"/>
      <c r="M11" s="579" t="n"/>
      <c r="N11" s="576" t="n"/>
      <c r="O11" s="608" t="n"/>
      <c r="P11" s="608" t="n"/>
      <c r="Q11" s="608" t="n"/>
      <c r="R11" s="608" t="n"/>
      <c r="S11" s="608" t="n"/>
      <c r="T11" s="608" t="n"/>
      <c r="U11" s="608" t="n"/>
      <c r="V11" s="608" t="n"/>
      <c r="W11" s="608" t="n"/>
      <c r="X11" s="608" t="n"/>
      <c r="Y11" s="608" t="n"/>
      <c r="Z11" s="608" t="n"/>
      <c r="AA11" s="608" t="n"/>
      <c r="AB11" s="608" t="n"/>
      <c r="AC11" s="608" t="n"/>
      <c r="AD11" s="608" t="n"/>
      <c r="AE11" s="608" t="n"/>
      <c r="AF11" s="608" t="n"/>
      <c r="AG11" s="608" t="n"/>
      <c r="AH11" s="608" t="n"/>
      <c r="AI11" s="608" t="n"/>
      <c r="AJ11" s="608" t="n"/>
      <c r="AK11" s="608" t="n"/>
      <c r="AL11" s="608" t="n"/>
      <c r="AM11" s="608" t="n"/>
    </row>
    <row r="12" ht="43.15" customHeight="1" s="683">
      <c r="A12" s="588" t="n"/>
      <c r="B12" s="584" t="n"/>
      <c r="C12" s="585" t="n"/>
      <c r="D12" s="585" t="n"/>
      <c r="E12" s="585" t="n"/>
      <c r="F12" s="585" t="n"/>
      <c r="G12" s="586" t="n"/>
      <c r="H12" s="308" t="inlineStr">
        <is>
          <t>觸犯法條</t>
        </is>
      </c>
      <c r="I12" s="602">
        <f>呈報單!$G$15</f>
        <v/>
      </c>
      <c r="J12" s="579" t="n"/>
      <c r="K12" s="579" t="n"/>
      <c r="L12" s="579" t="n"/>
      <c r="M12" s="579" t="n"/>
      <c r="N12" s="576" t="n"/>
      <c r="O12" s="608" t="n"/>
      <c r="P12" s="608" t="n"/>
      <c r="Q12" s="608" t="n"/>
      <c r="R12" s="608" t="n"/>
      <c r="S12" s="608" t="n"/>
      <c r="T12" s="608" t="n"/>
      <c r="U12" s="608" t="n"/>
      <c r="V12" s="608" t="n"/>
      <c r="W12" s="608" t="n"/>
      <c r="X12" s="608" t="n"/>
      <c r="Y12" s="608" t="n"/>
      <c r="Z12" s="608" t="n"/>
      <c r="AA12" s="608" t="n"/>
      <c r="AB12" s="608" t="n"/>
      <c r="AC12" s="608" t="n"/>
      <c r="AD12" s="608" t="n"/>
      <c r="AE12" s="608" t="n"/>
      <c r="AF12" s="608" t="n"/>
      <c r="AG12" s="608" t="n"/>
      <c r="AH12" s="608" t="n"/>
      <c r="AI12" s="608" t="n"/>
      <c r="AJ12" s="608" t="n"/>
      <c r="AK12" s="608" t="n"/>
      <c r="AL12" s="608" t="n"/>
      <c r="AM12" s="608" t="n"/>
    </row>
    <row r="13" ht="80.25" customHeight="1" s="683">
      <c r="A13" s="309" t="inlineStr">
        <is>
          <t>附送刑案含犯罪證據</t>
        </is>
      </c>
      <c r="B13" s="938" t="inlineStr">
        <is>
          <t>一、嫌疑人1名。           二、警詢筆錄。             三、各類附表。            四、查扣證物詳扣押目錄表。</t>
        </is>
      </c>
      <c r="C13" s="579" t="n"/>
      <c r="D13" s="576" t="n"/>
      <c r="E13" s="602" t="n"/>
      <c r="F13" s="579" t="n"/>
      <c r="G13" s="576" t="n"/>
      <c r="H13" s="611" t="inlineStr">
        <is>
          <t>查獲員警
擬辦意見</t>
        </is>
      </c>
      <c r="I13" s="602" t="inlineStr">
        <is>
          <t>移請  偵查隊辦理</t>
        </is>
      </c>
      <c r="J13" s="579" t="n"/>
      <c r="K13" s="579" t="n"/>
      <c r="L13" s="579" t="n"/>
      <c r="M13" s="579" t="n"/>
      <c r="N13" s="576" t="n"/>
      <c r="O13" s="608" t="n"/>
      <c r="P13" s="608" t="n"/>
      <c r="Q13" s="608" t="n"/>
      <c r="R13" s="608" t="n"/>
      <c r="S13" s="608" t="n"/>
      <c r="T13" s="608" t="n"/>
      <c r="U13" s="608" t="n"/>
      <c r="V13" s="608" t="n"/>
      <c r="W13" s="608" t="n"/>
      <c r="X13" s="608" t="n"/>
      <c r="Y13" s="608" t="n"/>
      <c r="Z13" s="608" t="n"/>
      <c r="AA13" s="608" t="n"/>
      <c r="AB13" s="608" t="n"/>
      <c r="AC13" s="608" t="n"/>
      <c r="AD13" s="608" t="n"/>
      <c r="AE13" s="608" t="n"/>
      <c r="AF13" s="608" t="n"/>
      <c r="AG13" s="608" t="n"/>
      <c r="AH13" s="608" t="n"/>
      <c r="AI13" s="608" t="n"/>
      <c r="AJ13" s="608" t="n"/>
      <c r="AK13" s="608" t="n"/>
      <c r="AL13" s="608" t="n"/>
      <c r="AM13" s="608" t="n"/>
    </row>
    <row r="14" ht="30" customHeight="1" s="683">
      <c r="A14" s="953">
        <f>CONCATENATE("受理單位:",輸入!$S$18,輸入!$T$18,輸入!$S$19,輸入!$T$19,輸入!$S$20,輸入!$T$20,)</f>
        <v/>
      </c>
      <c r="B14" s="582" t="n"/>
      <c r="C14" s="582" t="n"/>
      <c r="D14" s="582" t="n"/>
      <c r="E14" s="582" t="n"/>
      <c r="F14" s="582" t="n"/>
      <c r="G14" s="582" t="n"/>
      <c r="H14" s="583" t="n"/>
      <c r="I14" s="948" t="inlineStr">
        <is>
          <t>敬   陳</t>
        </is>
      </c>
      <c r="J14" s="582" t="n"/>
      <c r="K14" s="582" t="n"/>
      <c r="L14" s="582" t="n"/>
      <c r="M14" s="582" t="n"/>
      <c r="N14" s="583" t="n"/>
      <c r="O14" s="608" t="n"/>
      <c r="P14" s="608" t="n"/>
      <c r="Q14" s="608" t="n"/>
      <c r="R14" s="608" t="n"/>
      <c r="S14" s="608" t="n"/>
      <c r="T14" s="608" t="n"/>
      <c r="U14" s="608" t="n"/>
      <c r="V14" s="608" t="n"/>
      <c r="W14" s="608" t="n"/>
      <c r="X14" s="608" t="n"/>
      <c r="Y14" s="608" t="n"/>
      <c r="Z14" s="608" t="n"/>
      <c r="AA14" s="608" t="n"/>
      <c r="AB14" s="608" t="n"/>
      <c r="AC14" s="608" t="n"/>
      <c r="AD14" s="608" t="n"/>
      <c r="AE14" s="608" t="n"/>
      <c r="AF14" s="608" t="n"/>
      <c r="AG14" s="608" t="n"/>
      <c r="AH14" s="608" t="n"/>
      <c r="AI14" s="608" t="n"/>
      <c r="AJ14" s="608" t="n"/>
      <c r="AK14" s="608" t="n"/>
      <c r="AL14" s="608" t="n"/>
      <c r="AM14" s="608" t="n"/>
    </row>
    <row r="15" ht="30" customHeight="1" s="683">
      <c r="A15" s="936" t="inlineStr">
        <is>
          <t>主    管:</t>
        </is>
      </c>
      <c r="H15" s="609" t="n"/>
      <c r="I15" s="943" t="inlineStr">
        <is>
          <t>分   局   長</t>
        </is>
      </c>
      <c r="N15" s="609" t="n"/>
      <c r="O15" s="608" t="n"/>
      <c r="P15" s="608" t="n"/>
      <c r="Q15" s="608" t="n"/>
      <c r="R15" s="608" t="n"/>
      <c r="S15" s="608" t="n"/>
      <c r="T15" s="608" t="n"/>
      <c r="U15" s="608" t="n"/>
      <c r="V15" s="608" t="n"/>
      <c r="W15" s="608" t="n"/>
      <c r="X15" s="608" t="n"/>
      <c r="Y15" s="608" t="n"/>
      <c r="Z15" s="608" t="n"/>
      <c r="AA15" s="608" t="n"/>
      <c r="AB15" s="608" t="n"/>
      <c r="AC15" s="608" t="n"/>
      <c r="AD15" s="608" t="n"/>
      <c r="AE15" s="608" t="n"/>
      <c r="AF15" s="608" t="n"/>
      <c r="AG15" s="608" t="n"/>
      <c r="AH15" s="608" t="n"/>
      <c r="AI15" s="608" t="n"/>
      <c r="AJ15" s="608" t="n"/>
      <c r="AK15" s="608" t="n"/>
      <c r="AL15" s="608" t="n"/>
      <c r="AM15" s="608" t="n"/>
    </row>
    <row r="16" ht="30" customHeight="1" s="683">
      <c r="A16" s="949">
        <f>CONCATENATE("受理員警:警員 ",輸入!$O$8)</f>
        <v/>
      </c>
      <c r="B16" s="585" t="n"/>
      <c r="C16" s="585" t="n"/>
      <c r="D16" s="585" t="n"/>
      <c r="E16" s="585" t="n"/>
      <c r="F16" s="585" t="n"/>
      <c r="G16" s="585" t="n"/>
      <c r="H16" s="586" t="n"/>
      <c r="I16" s="585" t="n"/>
      <c r="J16" s="585" t="n"/>
      <c r="K16" s="585" t="n"/>
      <c r="L16" s="585" t="n"/>
      <c r="M16" s="585" t="n"/>
      <c r="N16" s="586" t="n"/>
      <c r="O16" s="608" t="n"/>
      <c r="P16" s="608" t="n"/>
      <c r="Q16" s="608" t="n"/>
      <c r="R16" s="608" t="n"/>
      <c r="S16" s="608" t="n"/>
      <c r="T16" s="608" t="n"/>
      <c r="U16" s="608" t="n"/>
      <c r="V16" s="608" t="n"/>
      <c r="W16" s="608" t="n"/>
      <c r="X16" s="608" t="n"/>
      <c r="Y16" s="608" t="n"/>
      <c r="Z16" s="608" t="n"/>
      <c r="AA16" s="608" t="n"/>
      <c r="AB16" s="608" t="n"/>
      <c r="AC16" s="608" t="n"/>
      <c r="AD16" s="608" t="n"/>
      <c r="AE16" s="608" t="n"/>
      <c r="AF16" s="608" t="n"/>
      <c r="AG16" s="608" t="n"/>
      <c r="AH16" s="608" t="n"/>
      <c r="AI16" s="608" t="n"/>
      <c r="AJ16" s="608" t="n"/>
      <c r="AK16" s="608" t="n"/>
      <c r="AL16" s="608" t="n"/>
      <c r="AM16" s="608" t="n"/>
    </row>
    <row r="17" ht="24" customHeight="1" s="683">
      <c r="A17" s="954" t="inlineStr">
        <is>
          <t>填製說明:</t>
        </is>
      </c>
      <c r="C17" s="957" t="inlineStr">
        <is>
          <t>一、本報告單應用十六開紙印製，一式三聯，一聯存根，一聯報送，一聯副本。</t>
        </is>
      </c>
      <c r="N17" s="608" t="n"/>
      <c r="O17" s="608" t="n"/>
      <c r="P17" s="608" t="n"/>
      <c r="Q17" s="608" t="n"/>
      <c r="R17" s="608" t="n"/>
      <c r="S17" s="608" t="n"/>
      <c r="T17" s="608" t="n"/>
      <c r="U17" s="608" t="n"/>
      <c r="V17" s="608" t="n"/>
      <c r="W17" s="608" t="n"/>
      <c r="X17" s="608" t="n"/>
      <c r="Y17" s="608" t="n"/>
      <c r="Z17" s="608" t="n"/>
      <c r="AA17" s="608" t="n"/>
      <c r="AB17" s="608" t="n"/>
      <c r="AC17" s="608" t="n"/>
      <c r="AD17" s="608" t="n"/>
      <c r="AE17" s="608" t="n"/>
      <c r="AF17" s="608" t="n"/>
      <c r="AG17" s="608" t="n"/>
      <c r="AH17" s="608" t="n"/>
      <c r="AI17" s="608" t="n"/>
      <c r="AJ17" s="608" t="n"/>
      <c r="AK17" s="608" t="n"/>
      <c r="AL17" s="608" t="n"/>
      <c r="AM17" s="608" t="n"/>
    </row>
    <row r="18" ht="33.75" customHeight="1" s="683" thickBot="1">
      <c r="A18" s="954" t="n"/>
      <c r="B18" s="954" t="n"/>
      <c r="C18" s="957" t="inlineStr">
        <is>
          <t>二、填用時，應注意按其性質於報告單所印三項名稱知中央位置劃ˇ，如係刑事案
    件者，及於其上之中心點劃ˇ符號，或劃塗其他名稱，以免混淆。</t>
        </is>
      </c>
      <c r="N18" s="608" t="n"/>
      <c r="O18" s="608" t="n"/>
      <c r="P18" s="608" t="n"/>
      <c r="Q18" s="608" t="n"/>
      <c r="R18" s="608" t="n"/>
      <c r="S18" s="608" t="n"/>
      <c r="T18" s="608" t="n"/>
      <c r="U18" s="608" t="n"/>
      <c r="V18" s="608" t="n"/>
      <c r="W18" s="608" t="n"/>
      <c r="X18" s="608" t="n"/>
      <c r="Y18" s="608" t="n"/>
      <c r="Z18" s="608" t="n"/>
      <c r="AA18" s="608" t="n"/>
      <c r="AB18" s="608" t="n"/>
      <c r="AC18" s="608" t="n"/>
      <c r="AD18" s="608" t="n"/>
      <c r="AE18" s="608" t="n"/>
      <c r="AF18" s="608" t="n"/>
      <c r="AG18" s="608" t="n"/>
      <c r="AH18" s="608" t="n"/>
      <c r="AI18" s="608" t="n"/>
      <c r="AJ18" s="608" t="n"/>
      <c r="AK18" s="608" t="n"/>
      <c r="AL18" s="608" t="n"/>
      <c r="AM18" s="608" t="n"/>
    </row>
    <row r="19" ht="17.25" customHeight="1" s="683" thickTop="1">
      <c r="A19" s="950" t="inlineStr">
        <is>
          <t>偵查隊</t>
        </is>
      </c>
      <c r="B19" s="934" t="n"/>
      <c r="C19" s="932" t="inlineStr">
        <is>
          <t>勤務指揮中心</t>
        </is>
      </c>
      <c r="D19" s="934" t="n"/>
      <c r="E19" s="932" t="inlineStr">
        <is>
          <t>督察組</t>
        </is>
      </c>
      <c r="F19" s="934" t="n"/>
      <c r="G19" s="932" t="inlineStr">
        <is>
          <t>副分局長</t>
        </is>
      </c>
      <c r="H19" s="934" t="n"/>
      <c r="I19" s="932" t="inlineStr">
        <is>
          <t>分局長</t>
        </is>
      </c>
      <c r="J19" s="933" t="n"/>
      <c r="K19" s="933" t="n"/>
      <c r="L19" s="933" t="n"/>
      <c r="M19" s="933" t="n"/>
      <c r="N19" s="934" t="n"/>
      <c r="O19" s="608" t="n"/>
      <c r="P19" s="608" t="n"/>
      <c r="Q19" s="608" t="n"/>
      <c r="R19" s="608" t="n"/>
      <c r="S19" s="608" t="n"/>
      <c r="T19" s="608" t="n"/>
      <c r="U19" s="608" t="n"/>
      <c r="V19" s="608" t="n"/>
      <c r="W19" s="608" t="n"/>
      <c r="X19" s="608" t="n"/>
      <c r="Y19" s="608" t="n"/>
      <c r="Z19" s="608" t="n"/>
      <c r="AA19" s="608" t="n"/>
      <c r="AB19" s="608" t="n"/>
      <c r="AC19" s="608" t="n"/>
      <c r="AD19" s="608" t="n"/>
      <c r="AE19" s="608" t="n"/>
      <c r="AF19" s="608" t="n"/>
      <c r="AG19" s="608" t="n"/>
      <c r="AH19" s="608" t="n"/>
      <c r="AI19" s="608" t="n"/>
      <c r="AJ19" s="608" t="n"/>
      <c r="AK19" s="608" t="n"/>
      <c r="AL19" s="608" t="n"/>
      <c r="AM19" s="608" t="n"/>
    </row>
    <row r="20">
      <c r="A20" s="942" t="n"/>
      <c r="B20" s="586" t="n"/>
      <c r="C20" s="584" t="n"/>
      <c r="D20" s="586" t="n"/>
      <c r="E20" s="584" t="n"/>
      <c r="F20" s="586" t="n"/>
      <c r="G20" s="584" t="n"/>
      <c r="H20" s="586" t="n"/>
      <c r="I20" s="584" t="n"/>
      <c r="J20" s="585" t="n"/>
      <c r="K20" s="585" t="n"/>
      <c r="L20" s="585" t="n"/>
      <c r="M20" s="585" t="n"/>
      <c r="N20" s="586" t="n"/>
      <c r="O20" s="608" t="n"/>
      <c r="P20" s="608" t="n"/>
      <c r="Q20" s="608" t="n"/>
      <c r="R20" s="608" t="n"/>
      <c r="S20" s="608" t="n"/>
      <c r="T20" s="608" t="n"/>
      <c r="U20" s="608" t="n"/>
      <c r="V20" s="608" t="n"/>
      <c r="W20" s="608" t="n"/>
      <c r="X20" s="608" t="n"/>
      <c r="Y20" s="608" t="n"/>
      <c r="Z20" s="608" t="n"/>
      <c r="AA20" s="608" t="n"/>
      <c r="AB20" s="608" t="n"/>
      <c r="AC20" s="608" t="n"/>
      <c r="AD20" s="608" t="n"/>
      <c r="AE20" s="608" t="n"/>
      <c r="AF20" s="608" t="n"/>
      <c r="AG20" s="608" t="n"/>
      <c r="AH20" s="608" t="n"/>
      <c r="AI20" s="608" t="n"/>
      <c r="AJ20" s="608" t="n"/>
      <c r="AK20" s="608" t="n"/>
      <c r="AL20" s="608" t="n"/>
      <c r="AM20" s="608" t="n"/>
    </row>
    <row r="21" ht="20.1" customHeight="1" s="683">
      <c r="A21" s="940" t="inlineStr">
        <is>
          <t>擬:
一、本案經查符合線上
立破之要件。
二、依規定通報。</t>
        </is>
      </c>
      <c r="B21" s="583" t="n"/>
      <c r="C21" s="946" t="inlineStr">
        <is>
          <t>1.轄區內破獲
  是□、否□
2.勤務中心指揮
  是□、否□
3.勤務編排項目
  是□、否□</t>
        </is>
      </c>
      <c r="D21" s="583" t="n"/>
      <c r="E21" s="956" t="n"/>
      <c r="F21" s="583" t="n"/>
      <c r="G21" s="956" t="n"/>
      <c r="H21" s="583" t="n"/>
      <c r="I21" s="956" t="n"/>
      <c r="J21" s="582" t="n"/>
      <c r="K21" s="582" t="n"/>
      <c r="L21" s="582" t="n"/>
      <c r="M21" s="582" t="n"/>
      <c r="N21" s="583" t="n"/>
      <c r="O21" s="608" t="n"/>
      <c r="P21" s="608" t="n"/>
      <c r="Q21" s="608" t="n"/>
      <c r="R21" s="608" t="n"/>
      <c r="S21" s="608" t="n"/>
      <c r="T21" s="608" t="n"/>
      <c r="U21" s="608" t="n"/>
      <c r="V21" s="608" t="n"/>
      <c r="W21" s="608" t="n"/>
      <c r="X21" s="608" t="n"/>
      <c r="Y21" s="608" t="n"/>
      <c r="Z21" s="608" t="n"/>
      <c r="AA21" s="608" t="n"/>
      <c r="AB21" s="608" t="n"/>
      <c r="AC21" s="608" t="n"/>
      <c r="AD21" s="608" t="n"/>
      <c r="AE21" s="608" t="n"/>
      <c r="AF21" s="608" t="n"/>
      <c r="AG21" s="608" t="n"/>
      <c r="AH21" s="608" t="n"/>
      <c r="AI21" s="608" t="n"/>
      <c r="AJ21" s="608" t="n"/>
      <c r="AK21" s="608" t="n"/>
      <c r="AL21" s="608" t="n"/>
      <c r="AM21" s="608" t="n"/>
    </row>
    <row r="22" ht="20.1" customHeight="1" s="683">
      <c r="A22" s="941" t="n"/>
      <c r="B22" s="609" t="n"/>
      <c r="C22" s="607" t="n"/>
      <c r="D22" s="609" t="n"/>
      <c r="E22" s="607" t="n"/>
      <c r="F22" s="609" t="n"/>
      <c r="G22" s="607" t="n"/>
      <c r="H22" s="609" t="n"/>
      <c r="I22" s="607" t="n"/>
      <c r="N22" s="609" t="n"/>
      <c r="O22" s="608" t="n"/>
      <c r="P22" s="608" t="n"/>
      <c r="Q22" s="608" t="n"/>
      <c r="R22" s="608" t="n"/>
      <c r="S22" s="608" t="n"/>
      <c r="T22" s="608" t="n"/>
      <c r="U22" s="608" t="n"/>
      <c r="V22" s="608" t="n"/>
      <c r="W22" s="608" t="n"/>
      <c r="X22" s="608" t="n"/>
      <c r="Y22" s="608" t="n"/>
      <c r="Z22" s="608" t="n"/>
      <c r="AA22" s="608" t="n"/>
      <c r="AB22" s="608" t="n"/>
      <c r="AC22" s="608" t="n"/>
      <c r="AD22" s="608" t="n"/>
      <c r="AE22" s="608" t="n"/>
      <c r="AF22" s="608" t="n"/>
      <c r="AG22" s="608" t="n"/>
      <c r="AH22" s="608" t="n"/>
      <c r="AI22" s="608" t="n"/>
      <c r="AJ22" s="608" t="n"/>
      <c r="AK22" s="608" t="n"/>
      <c r="AL22" s="608" t="n"/>
      <c r="AM22" s="608" t="n"/>
    </row>
    <row r="23" ht="20.1" customHeight="1" s="683">
      <c r="A23" s="941" t="n"/>
      <c r="B23" s="609" t="n"/>
      <c r="C23" s="607" t="n"/>
      <c r="D23" s="609" t="n"/>
      <c r="E23" s="607" t="n"/>
      <c r="F23" s="609" t="n"/>
      <c r="G23" s="607" t="n"/>
      <c r="H23" s="609" t="n"/>
      <c r="I23" s="607" t="n"/>
      <c r="N23" s="609" t="n"/>
      <c r="O23" s="608" t="n"/>
      <c r="P23" s="608" t="n"/>
      <c r="Q23" s="608" t="n"/>
      <c r="R23" s="608" t="n"/>
      <c r="S23" s="608" t="n"/>
      <c r="T23" s="608" t="n"/>
      <c r="U23" s="608" t="n"/>
      <c r="V23" s="608" t="n"/>
      <c r="W23" s="608" t="n"/>
      <c r="X23" s="608" t="n"/>
      <c r="Y23" s="608" t="n"/>
      <c r="Z23" s="608" t="n"/>
      <c r="AA23" s="608" t="n"/>
      <c r="AB23" s="608" t="n"/>
      <c r="AC23" s="608" t="n"/>
      <c r="AD23" s="608" t="n"/>
      <c r="AE23" s="608" t="n"/>
      <c r="AF23" s="608" t="n"/>
      <c r="AG23" s="608" t="n"/>
      <c r="AH23" s="608" t="n"/>
      <c r="AI23" s="608" t="n"/>
      <c r="AJ23" s="608" t="n"/>
      <c r="AK23" s="608" t="n"/>
      <c r="AL23" s="608" t="n"/>
      <c r="AM23" s="608" t="n"/>
    </row>
    <row r="24" ht="20.1" customHeight="1" s="683">
      <c r="A24" s="941" t="n"/>
      <c r="B24" s="609" t="n"/>
      <c r="C24" s="607" t="n"/>
      <c r="D24" s="609" t="n"/>
      <c r="E24" s="607" t="n"/>
      <c r="F24" s="609" t="n"/>
      <c r="G24" s="607" t="n"/>
      <c r="H24" s="609" t="n"/>
      <c r="I24" s="607" t="n"/>
      <c r="N24" s="609" t="n"/>
      <c r="O24" s="608" t="n"/>
      <c r="P24" s="608" t="n"/>
      <c r="Q24" s="608" t="n"/>
      <c r="R24" s="608" t="n"/>
      <c r="S24" s="608" t="n"/>
      <c r="T24" s="608" t="n"/>
      <c r="U24" s="608" t="n"/>
      <c r="V24" s="608" t="n"/>
      <c r="W24" s="608" t="n"/>
      <c r="X24" s="608" t="n"/>
      <c r="Y24" s="608" t="n"/>
      <c r="Z24" s="608" t="n"/>
      <c r="AA24" s="608" t="n"/>
      <c r="AB24" s="608" t="n"/>
      <c r="AC24" s="608" t="n"/>
      <c r="AD24" s="608" t="n"/>
      <c r="AE24" s="608" t="n"/>
      <c r="AF24" s="608" t="n"/>
      <c r="AG24" s="608" t="n"/>
      <c r="AH24" s="608" t="n"/>
      <c r="AI24" s="608" t="n"/>
      <c r="AJ24" s="608" t="n"/>
      <c r="AK24" s="608" t="n"/>
      <c r="AL24" s="608" t="n"/>
      <c r="AM24" s="608" t="n"/>
    </row>
    <row r="25" ht="20.1" customHeight="1" s="683">
      <c r="A25" s="941" t="n"/>
      <c r="B25" s="609" t="n"/>
      <c r="C25" s="607" t="n"/>
      <c r="D25" s="609" t="n"/>
      <c r="E25" s="607" t="n"/>
      <c r="F25" s="609" t="n"/>
      <c r="G25" s="607" t="n"/>
      <c r="H25" s="609" t="n"/>
      <c r="I25" s="607" t="n"/>
      <c r="N25" s="609" t="n"/>
      <c r="O25" s="608" t="n"/>
      <c r="P25" s="608" t="n"/>
      <c r="Q25" s="608" t="n"/>
      <c r="R25" s="608" t="n"/>
      <c r="S25" s="608" t="n"/>
      <c r="T25" s="608" t="n"/>
      <c r="U25" s="608" t="n"/>
      <c r="V25" s="608" t="n"/>
      <c r="W25" s="608" t="n"/>
      <c r="X25" s="608" t="n"/>
      <c r="Y25" s="608" t="n"/>
      <c r="Z25" s="608" t="n"/>
      <c r="AA25" s="608" t="n"/>
      <c r="AB25" s="608" t="n"/>
      <c r="AC25" s="608" t="n"/>
      <c r="AD25" s="608" t="n"/>
      <c r="AE25" s="608" t="n"/>
      <c r="AF25" s="608" t="n"/>
      <c r="AG25" s="608" t="n"/>
      <c r="AH25" s="608" t="n"/>
      <c r="AI25" s="608" t="n"/>
      <c r="AJ25" s="608" t="n"/>
      <c r="AK25" s="608" t="n"/>
      <c r="AL25" s="608" t="n"/>
      <c r="AM25" s="608" t="n"/>
    </row>
    <row r="26" ht="9" customHeight="1" s="683" thickBot="1">
      <c r="A26" s="942" t="n"/>
      <c r="B26" s="586" t="n"/>
      <c r="C26" s="584" t="n"/>
      <c r="D26" s="586" t="n"/>
      <c r="E26" s="584" t="n"/>
      <c r="F26" s="586" t="n"/>
      <c r="G26" s="584" t="n"/>
      <c r="H26" s="586" t="n"/>
      <c r="I26" s="584" t="n"/>
      <c r="J26" s="585" t="n"/>
      <c r="K26" s="585" t="n"/>
      <c r="L26" s="585" t="n"/>
      <c r="M26" s="585" t="n"/>
      <c r="N26" s="586" t="n"/>
      <c r="O26" s="608" t="n"/>
      <c r="P26" s="608" t="n"/>
      <c r="Q26" s="608" t="n"/>
      <c r="R26" s="608" t="n"/>
      <c r="S26" s="608" t="n"/>
      <c r="T26" s="608" t="n"/>
      <c r="U26" s="608" t="n"/>
      <c r="V26" s="608" t="n"/>
      <c r="W26" s="608" t="n"/>
      <c r="X26" s="608" t="n"/>
      <c r="Y26" s="608" t="n"/>
      <c r="Z26" s="608" t="n"/>
      <c r="AA26" s="608" t="n"/>
      <c r="AB26" s="608" t="n"/>
      <c r="AC26" s="608" t="n"/>
      <c r="AD26" s="608" t="n"/>
      <c r="AE26" s="608" t="n"/>
      <c r="AF26" s="608" t="n"/>
      <c r="AG26" s="608" t="n"/>
      <c r="AH26" s="608" t="n"/>
      <c r="AI26" s="608" t="n"/>
      <c r="AJ26" s="608" t="n"/>
      <c r="AK26" s="608" t="n"/>
      <c r="AL26" s="608" t="n"/>
      <c r="AM26" s="608" t="n"/>
    </row>
    <row r="27" ht="17.25" customHeight="1" s="683" thickTop="1">
      <c r="A27" s="608" t="n"/>
      <c r="B27" s="608" t="n"/>
      <c r="C27" s="608" t="n"/>
      <c r="D27" s="608" t="n"/>
      <c r="E27" s="608" t="n"/>
      <c r="F27" s="608" t="n"/>
      <c r="G27" s="608" t="n"/>
      <c r="H27" s="608" t="n"/>
      <c r="I27" s="608" t="n"/>
      <c r="J27" s="608" t="n"/>
      <c r="K27" s="608" t="n"/>
      <c r="L27" s="608" t="n"/>
      <c r="M27" s="608" t="n"/>
      <c r="N27" s="608" t="n"/>
      <c r="O27" s="608" t="n"/>
      <c r="P27" s="608" t="n"/>
      <c r="Q27" s="608" t="n"/>
      <c r="R27" s="608" t="n"/>
      <c r="S27" s="608" t="n"/>
      <c r="T27" s="608" t="n"/>
      <c r="U27" s="608" t="n"/>
      <c r="V27" s="608" t="n"/>
      <c r="W27" s="608" t="n"/>
      <c r="X27" s="608" t="n"/>
      <c r="Y27" s="608" t="n"/>
      <c r="Z27" s="608" t="n"/>
      <c r="AA27" s="608" t="n"/>
      <c r="AB27" s="608" t="n"/>
      <c r="AC27" s="608" t="n"/>
      <c r="AD27" s="608" t="n"/>
      <c r="AE27" s="608" t="n"/>
      <c r="AF27" s="608" t="n"/>
      <c r="AG27" s="608" t="n"/>
      <c r="AH27" s="608" t="n"/>
      <c r="AI27" s="608" t="n"/>
      <c r="AJ27" s="608" t="n"/>
      <c r="AK27" s="608" t="n"/>
      <c r="AL27" s="608" t="n"/>
      <c r="AM27" s="608" t="n"/>
    </row>
    <row r="28">
      <c r="A28" s="608" t="n"/>
      <c r="B28" s="608" t="n"/>
      <c r="C28" s="608" t="n"/>
      <c r="D28" s="608" t="n"/>
      <c r="E28" s="608" t="n"/>
      <c r="F28" s="608" t="n"/>
      <c r="G28" s="608" t="n"/>
      <c r="H28" s="608" t="n"/>
      <c r="I28" s="608" t="n"/>
      <c r="J28" s="608" t="n"/>
      <c r="K28" s="608" t="n"/>
      <c r="L28" s="608" t="n"/>
      <c r="M28" s="608" t="n"/>
      <c r="N28" s="608" t="n"/>
      <c r="O28" s="608" t="n"/>
      <c r="P28" s="608" t="n"/>
      <c r="Q28" s="608" t="n"/>
      <c r="R28" s="608" t="n"/>
      <c r="S28" s="608" t="n"/>
      <c r="T28" s="608" t="n"/>
      <c r="U28" s="608" t="n"/>
      <c r="V28" s="608" t="n"/>
      <c r="W28" s="608" t="n"/>
      <c r="X28" s="608" t="n"/>
      <c r="Y28" s="608" t="n"/>
      <c r="Z28" s="608" t="n"/>
      <c r="AA28" s="608" t="n"/>
      <c r="AB28" s="608" t="n"/>
      <c r="AC28" s="608" t="n"/>
      <c r="AD28" s="608" t="n"/>
      <c r="AE28" s="608" t="n"/>
      <c r="AF28" s="608" t="n"/>
      <c r="AG28" s="608" t="n"/>
      <c r="AH28" s="608" t="n"/>
      <c r="AI28" s="608" t="n"/>
      <c r="AJ28" s="608" t="n"/>
      <c r="AK28" s="608" t="n"/>
      <c r="AL28" s="608" t="n"/>
      <c r="AM28" s="608" t="n"/>
    </row>
    <row r="29">
      <c r="A29" s="608" t="n"/>
      <c r="B29" s="608" t="n"/>
      <c r="C29" s="608" t="n"/>
      <c r="D29" s="608" t="n"/>
      <c r="E29" s="608" t="n"/>
      <c r="F29" s="608" t="n"/>
      <c r="G29" s="608" t="n"/>
      <c r="H29" s="608" t="n"/>
      <c r="I29" s="608" t="n"/>
      <c r="J29" s="608" t="n"/>
      <c r="K29" s="608" t="n"/>
      <c r="L29" s="608" t="n"/>
      <c r="M29" s="608" t="n"/>
      <c r="N29" s="608" t="n"/>
      <c r="O29" s="608" t="n"/>
      <c r="P29" s="608" t="n"/>
      <c r="Q29" s="608" t="n"/>
      <c r="R29" s="608" t="n"/>
      <c r="S29" s="608" t="n"/>
      <c r="T29" s="608" t="n"/>
      <c r="U29" s="608" t="n"/>
      <c r="V29" s="608" t="n"/>
      <c r="W29" s="608" t="n"/>
      <c r="X29" s="608" t="n"/>
      <c r="Y29" s="608" t="n"/>
      <c r="Z29" s="608" t="n"/>
      <c r="AA29" s="608" t="n"/>
      <c r="AB29" s="608" t="n"/>
      <c r="AC29" s="608" t="n"/>
      <c r="AD29" s="608" t="n"/>
      <c r="AE29" s="608" t="n"/>
      <c r="AF29" s="608" t="n"/>
      <c r="AG29" s="608" t="n"/>
      <c r="AH29" s="608" t="n"/>
      <c r="AI29" s="608" t="n"/>
      <c r="AJ29" s="608" t="n"/>
      <c r="AK29" s="608" t="n"/>
      <c r="AL29" s="608" t="n"/>
      <c r="AM29" s="608" t="n"/>
    </row>
    <row r="30">
      <c r="A30" s="608" t="n"/>
      <c r="B30" s="608" t="n"/>
      <c r="C30" s="608" t="n"/>
      <c r="D30" s="608" t="n"/>
      <c r="E30" s="608" t="n"/>
      <c r="F30" s="608" t="n"/>
      <c r="G30" s="608" t="n"/>
      <c r="H30" s="608" t="n"/>
      <c r="I30" s="608" t="n"/>
      <c r="J30" s="608" t="n"/>
      <c r="K30" s="608" t="n"/>
      <c r="L30" s="608" t="n"/>
      <c r="M30" s="608" t="n"/>
      <c r="N30" s="608" t="n"/>
      <c r="O30" s="608" t="n"/>
      <c r="P30" s="608" t="n"/>
      <c r="Q30" s="608" t="n"/>
      <c r="R30" s="608" t="n"/>
      <c r="S30" s="608" t="n"/>
      <c r="T30" s="608" t="n"/>
      <c r="U30" s="608" t="n"/>
      <c r="V30" s="608" t="n"/>
      <c r="W30" s="608" t="n"/>
      <c r="X30" s="608" t="n"/>
      <c r="Y30" s="608" t="n"/>
      <c r="Z30" s="608" t="n"/>
      <c r="AA30" s="608" t="n"/>
      <c r="AB30" s="608" t="n"/>
      <c r="AC30" s="608" t="n"/>
      <c r="AD30" s="608" t="n"/>
      <c r="AE30" s="608" t="n"/>
      <c r="AF30" s="608" t="n"/>
      <c r="AG30" s="608" t="n"/>
      <c r="AH30" s="608" t="n"/>
      <c r="AI30" s="608" t="n"/>
      <c r="AJ30" s="608" t="n"/>
      <c r="AK30" s="608" t="n"/>
      <c r="AL30" s="608" t="n"/>
      <c r="AM30" s="608" t="n"/>
    </row>
    <row r="31">
      <c r="A31" s="608" t="n"/>
      <c r="B31" s="608" t="n"/>
      <c r="C31" s="608" t="n"/>
      <c r="D31" s="608" t="n"/>
      <c r="E31" s="608" t="n"/>
      <c r="F31" s="608" t="n"/>
      <c r="G31" s="608" t="n"/>
      <c r="H31" s="608" t="n"/>
      <c r="I31" s="608" t="n"/>
      <c r="J31" s="608" t="n"/>
      <c r="K31" s="608" t="n"/>
      <c r="L31" s="608" t="n"/>
      <c r="M31" s="608" t="n"/>
      <c r="N31" s="608" t="n"/>
      <c r="O31" s="608" t="n"/>
      <c r="P31" s="608" t="n"/>
      <c r="Q31" s="608" t="n"/>
      <c r="R31" s="608" t="n"/>
      <c r="S31" s="608" t="n"/>
      <c r="T31" s="608" t="n"/>
      <c r="U31" s="608" t="n"/>
      <c r="V31" s="608" t="n"/>
      <c r="W31" s="608" t="n"/>
      <c r="X31" s="608" t="n"/>
      <c r="Y31" s="608" t="n"/>
      <c r="Z31" s="608" t="n"/>
      <c r="AA31" s="608" t="n"/>
      <c r="AB31" s="608" t="n"/>
      <c r="AC31" s="608" t="n"/>
      <c r="AD31" s="608" t="n"/>
      <c r="AE31" s="608" t="n"/>
      <c r="AF31" s="608" t="n"/>
      <c r="AG31" s="608" t="n"/>
      <c r="AH31" s="608" t="n"/>
      <c r="AI31" s="608" t="n"/>
      <c r="AJ31" s="608" t="n"/>
      <c r="AK31" s="608" t="n"/>
      <c r="AL31" s="608" t="n"/>
      <c r="AM31" s="608" t="n"/>
    </row>
    <row r="32">
      <c r="A32" s="608" t="n"/>
      <c r="B32" s="608" t="n"/>
      <c r="C32" s="608" t="n"/>
      <c r="D32" s="608" t="n"/>
      <c r="E32" s="608" t="n"/>
      <c r="F32" s="608" t="n"/>
      <c r="G32" s="608" t="n"/>
      <c r="H32" s="608" t="n"/>
      <c r="I32" s="608" t="n"/>
      <c r="J32" s="608" t="n"/>
      <c r="K32" s="608" t="n"/>
      <c r="L32" s="608" t="n"/>
      <c r="M32" s="608" t="n"/>
      <c r="N32" s="608" t="n"/>
      <c r="O32" s="608" t="n"/>
      <c r="P32" s="608" t="n"/>
      <c r="Q32" s="608" t="n"/>
      <c r="R32" s="608" t="n"/>
      <c r="S32" s="608" t="n"/>
      <c r="T32" s="608" t="n"/>
      <c r="U32" s="608" t="n"/>
      <c r="V32" s="608" t="n"/>
      <c r="W32" s="608" t="n"/>
      <c r="X32" s="608" t="n"/>
      <c r="Y32" s="608" t="n"/>
      <c r="Z32" s="608" t="n"/>
      <c r="AA32" s="608" t="n"/>
      <c r="AB32" s="608" t="n"/>
      <c r="AC32" s="608" t="n"/>
      <c r="AD32" s="608" t="n"/>
      <c r="AE32" s="608" t="n"/>
      <c r="AF32" s="608" t="n"/>
      <c r="AG32" s="608" t="n"/>
      <c r="AH32" s="608" t="n"/>
      <c r="AI32" s="608" t="n"/>
      <c r="AJ32" s="608" t="n"/>
      <c r="AK32" s="608" t="n"/>
      <c r="AL32" s="608" t="n"/>
      <c r="AM32" s="608" t="n"/>
    </row>
    <row r="33">
      <c r="A33" s="608" t="n"/>
      <c r="B33" s="608" t="n"/>
      <c r="C33" s="608" t="n"/>
      <c r="D33" s="608" t="n"/>
      <c r="E33" s="608" t="n"/>
      <c r="F33" s="608" t="n"/>
      <c r="G33" s="608" t="n"/>
      <c r="H33" s="608" t="n"/>
      <c r="I33" s="608" t="n"/>
      <c r="J33" s="608" t="n"/>
      <c r="K33" s="608" t="n"/>
      <c r="L33" s="608" t="n"/>
      <c r="M33" s="608" t="n"/>
      <c r="N33" s="608" t="n"/>
      <c r="O33" s="608" t="n"/>
      <c r="P33" s="608" t="n"/>
      <c r="Q33" s="608" t="n"/>
      <c r="R33" s="608" t="n"/>
      <c r="S33" s="608" t="n"/>
      <c r="T33" s="608" t="n"/>
      <c r="U33" s="608" t="n"/>
      <c r="V33" s="608" t="n"/>
      <c r="W33" s="608" t="n"/>
      <c r="X33" s="608" t="n"/>
      <c r="Y33" s="608" t="n"/>
      <c r="Z33" s="608" t="n"/>
      <c r="AA33" s="608" t="n"/>
      <c r="AB33" s="608" t="n"/>
      <c r="AC33" s="608" t="n"/>
      <c r="AD33" s="608" t="n"/>
      <c r="AE33" s="608" t="n"/>
      <c r="AF33" s="608" t="n"/>
      <c r="AG33" s="608" t="n"/>
      <c r="AH33" s="608" t="n"/>
      <c r="AI33" s="608" t="n"/>
      <c r="AJ33" s="608" t="n"/>
      <c r="AK33" s="608" t="n"/>
      <c r="AL33" s="608" t="n"/>
      <c r="AM33" s="608" t="n"/>
    </row>
    <row r="34">
      <c r="A34" s="608" t="n"/>
      <c r="B34" s="608" t="n"/>
      <c r="C34" s="608" t="n"/>
      <c r="D34" s="608" t="n"/>
      <c r="E34" s="608" t="n"/>
      <c r="F34" s="608" t="n"/>
      <c r="G34" s="608" t="n"/>
      <c r="H34" s="608" t="n"/>
      <c r="I34" s="608" t="n"/>
      <c r="J34" s="608" t="n"/>
      <c r="K34" s="608" t="n"/>
      <c r="L34" s="608" t="n"/>
      <c r="M34" s="608" t="n"/>
      <c r="N34" s="608" t="n"/>
      <c r="O34" s="608" t="n"/>
      <c r="P34" s="608" t="n"/>
      <c r="Q34" s="608" t="n"/>
      <c r="R34" s="608" t="n"/>
      <c r="S34" s="608" t="n"/>
      <c r="T34" s="608" t="n"/>
      <c r="U34" s="608" t="n"/>
      <c r="V34" s="608" t="n"/>
      <c r="W34" s="608" t="n"/>
      <c r="X34" s="608" t="n"/>
      <c r="Y34" s="608" t="n"/>
      <c r="Z34" s="608" t="n"/>
      <c r="AA34" s="608" t="n"/>
      <c r="AB34" s="608" t="n"/>
      <c r="AC34" s="608" t="n"/>
      <c r="AD34" s="608" t="n"/>
      <c r="AE34" s="608" t="n"/>
      <c r="AF34" s="608" t="n"/>
      <c r="AG34" s="608" t="n"/>
      <c r="AH34" s="608" t="n"/>
      <c r="AI34" s="608" t="n"/>
      <c r="AJ34" s="608" t="n"/>
      <c r="AK34" s="608" t="n"/>
      <c r="AL34" s="608" t="n"/>
      <c r="AM34" s="608" t="n"/>
    </row>
    <row r="35">
      <c r="A35" s="608" t="n"/>
      <c r="B35" s="608" t="n"/>
      <c r="C35" s="608" t="n"/>
      <c r="D35" s="608" t="n"/>
      <c r="E35" s="608" t="n"/>
      <c r="F35" s="608" t="n"/>
      <c r="G35" s="608" t="n"/>
      <c r="H35" s="608" t="n"/>
      <c r="I35" s="608" t="n"/>
      <c r="J35" s="608" t="n"/>
      <c r="K35" s="608" t="n"/>
      <c r="L35" s="608" t="n"/>
      <c r="M35" s="608" t="n"/>
      <c r="N35" s="608" t="n"/>
      <c r="O35" s="608" t="n"/>
      <c r="P35" s="608" t="n"/>
      <c r="Q35" s="608" t="n"/>
      <c r="R35" s="608" t="n"/>
      <c r="S35" s="608" t="n"/>
      <c r="T35" s="608" t="n"/>
      <c r="U35" s="608" t="n"/>
      <c r="V35" s="608" t="n"/>
      <c r="W35" s="608" t="n"/>
      <c r="X35" s="608" t="n"/>
      <c r="Y35" s="608" t="n"/>
      <c r="Z35" s="608" t="n"/>
      <c r="AA35" s="608" t="n"/>
      <c r="AB35" s="608" t="n"/>
      <c r="AC35" s="608" t="n"/>
      <c r="AD35" s="608" t="n"/>
      <c r="AE35" s="608" t="n"/>
      <c r="AF35" s="608" t="n"/>
      <c r="AG35" s="608" t="n"/>
      <c r="AH35" s="608" t="n"/>
      <c r="AI35" s="608" t="n"/>
      <c r="AJ35" s="608" t="n"/>
      <c r="AK35" s="608" t="n"/>
      <c r="AL35" s="608" t="n"/>
      <c r="AM35" s="608" t="n"/>
    </row>
    <row r="36">
      <c r="A36" s="608" t="n"/>
      <c r="B36" s="608" t="n"/>
      <c r="C36" s="608" t="n"/>
      <c r="D36" s="608" t="n"/>
      <c r="E36" s="608" t="n"/>
      <c r="F36" s="608" t="n"/>
      <c r="G36" s="608" t="n"/>
      <c r="H36" s="608" t="n"/>
      <c r="I36" s="608" t="n"/>
      <c r="J36" s="608" t="n"/>
      <c r="K36" s="608" t="n"/>
      <c r="L36" s="608" t="n"/>
      <c r="M36" s="608" t="n"/>
      <c r="N36" s="608" t="n"/>
      <c r="O36" s="608" t="n"/>
      <c r="P36" s="608" t="n"/>
      <c r="Q36" s="608" t="n"/>
      <c r="R36" s="608" t="n"/>
      <c r="S36" s="608" t="n"/>
      <c r="T36" s="608" t="n"/>
      <c r="U36" s="608" t="n"/>
      <c r="V36" s="608" t="n"/>
      <c r="W36" s="608" t="n"/>
      <c r="X36" s="608" t="n"/>
      <c r="Y36" s="608" t="n"/>
      <c r="Z36" s="608" t="n"/>
      <c r="AA36" s="608" t="n"/>
      <c r="AB36" s="608" t="n"/>
      <c r="AC36" s="608" t="n"/>
      <c r="AD36" s="608" t="n"/>
      <c r="AE36" s="608" t="n"/>
      <c r="AF36" s="608" t="n"/>
      <c r="AG36" s="608" t="n"/>
      <c r="AH36" s="608" t="n"/>
      <c r="AI36" s="608" t="n"/>
      <c r="AJ36" s="608" t="n"/>
      <c r="AK36" s="608" t="n"/>
      <c r="AL36" s="608" t="n"/>
      <c r="AM36" s="608" t="n"/>
    </row>
    <row r="37">
      <c r="A37" s="608" t="n"/>
      <c r="B37" s="608" t="n"/>
      <c r="C37" s="608" t="n"/>
      <c r="D37" s="608" t="n"/>
      <c r="E37" s="608" t="n"/>
      <c r="F37" s="608" t="n"/>
      <c r="G37" s="608" t="n"/>
      <c r="H37" s="608" t="n"/>
      <c r="I37" s="608" t="n"/>
      <c r="J37" s="608" t="n"/>
      <c r="K37" s="608" t="n"/>
      <c r="L37" s="608" t="n"/>
      <c r="M37" s="608" t="n"/>
      <c r="N37" s="608" t="n"/>
      <c r="O37" s="608" t="n"/>
      <c r="P37" s="608" t="n"/>
      <c r="Q37" s="608" t="n"/>
      <c r="R37" s="608" t="n"/>
      <c r="S37" s="608" t="n"/>
      <c r="T37" s="608" t="n"/>
      <c r="U37" s="608" t="n"/>
      <c r="V37" s="608" t="n"/>
      <c r="W37" s="608" t="n"/>
      <c r="X37" s="608" t="n"/>
      <c r="Y37" s="608" t="n"/>
      <c r="Z37" s="608" t="n"/>
      <c r="AA37" s="608" t="n"/>
      <c r="AB37" s="608" t="n"/>
      <c r="AC37" s="608" t="n"/>
      <c r="AD37" s="608" t="n"/>
      <c r="AE37" s="608" t="n"/>
      <c r="AF37" s="608" t="n"/>
      <c r="AG37" s="608" t="n"/>
      <c r="AH37" s="608" t="n"/>
      <c r="AI37" s="608" t="n"/>
      <c r="AJ37" s="608" t="n"/>
      <c r="AK37" s="608" t="n"/>
      <c r="AL37" s="608" t="n"/>
      <c r="AM37" s="608" t="n"/>
    </row>
    <row r="38">
      <c r="A38" s="608" t="n"/>
      <c r="B38" s="608" t="n"/>
      <c r="C38" s="608" t="n"/>
      <c r="D38" s="608" t="n"/>
      <c r="E38" s="608" t="n"/>
      <c r="F38" s="608" t="n"/>
      <c r="G38" s="608" t="n"/>
      <c r="H38" s="608" t="n"/>
      <c r="I38" s="608" t="n"/>
      <c r="J38" s="608" t="n"/>
      <c r="K38" s="608" t="n"/>
      <c r="L38" s="608" t="n"/>
      <c r="M38" s="608" t="n"/>
      <c r="N38" s="608" t="n"/>
      <c r="O38" s="608" t="n"/>
      <c r="P38" s="608" t="n"/>
      <c r="Q38" s="608" t="n"/>
      <c r="R38" s="608" t="n"/>
      <c r="S38" s="608" t="n"/>
      <c r="T38" s="608" t="n"/>
      <c r="U38" s="608" t="n"/>
      <c r="V38" s="608" t="n"/>
      <c r="W38" s="608" t="n"/>
      <c r="X38" s="608" t="n"/>
      <c r="Y38" s="608" t="n"/>
      <c r="Z38" s="608" t="n"/>
      <c r="AA38" s="608" t="n"/>
      <c r="AB38" s="608" t="n"/>
      <c r="AC38" s="608" t="n"/>
      <c r="AD38" s="608" t="n"/>
      <c r="AE38" s="608" t="n"/>
      <c r="AF38" s="608" t="n"/>
      <c r="AG38" s="608" t="n"/>
      <c r="AH38" s="608" t="n"/>
      <c r="AI38" s="608" t="n"/>
      <c r="AJ38" s="608" t="n"/>
      <c r="AK38" s="608" t="n"/>
      <c r="AL38" s="608" t="n"/>
      <c r="AM38" s="608" t="n"/>
    </row>
    <row r="39">
      <c r="A39" s="608" t="n"/>
      <c r="B39" s="608" t="n"/>
      <c r="C39" s="608" t="n"/>
      <c r="D39" s="608" t="n"/>
      <c r="E39" s="608" t="n"/>
      <c r="F39" s="608" t="n"/>
      <c r="G39" s="608" t="n"/>
      <c r="H39" s="608" t="n"/>
      <c r="I39" s="608" t="n"/>
      <c r="J39" s="608" t="n"/>
      <c r="K39" s="608" t="n"/>
      <c r="L39" s="608" t="n"/>
      <c r="M39" s="608" t="n"/>
      <c r="N39" s="608" t="n"/>
      <c r="O39" s="608" t="n"/>
      <c r="P39" s="608" t="n"/>
      <c r="Q39" s="608" t="n"/>
      <c r="R39" s="608" t="n"/>
      <c r="S39" s="608" t="n"/>
      <c r="T39" s="608" t="n"/>
      <c r="U39" s="608" t="n"/>
      <c r="V39" s="608" t="n"/>
      <c r="W39" s="608" t="n"/>
      <c r="X39" s="608" t="n"/>
      <c r="Y39" s="608" t="n"/>
      <c r="Z39" s="608" t="n"/>
      <c r="AA39" s="608" t="n"/>
      <c r="AB39" s="608" t="n"/>
      <c r="AC39" s="608" t="n"/>
      <c r="AD39" s="608" t="n"/>
      <c r="AE39" s="608" t="n"/>
      <c r="AF39" s="608" t="n"/>
      <c r="AG39" s="608" t="n"/>
      <c r="AH39" s="608" t="n"/>
      <c r="AI39" s="608" t="n"/>
      <c r="AJ39" s="608" t="n"/>
      <c r="AK39" s="608" t="n"/>
      <c r="AL39" s="608" t="n"/>
      <c r="AM39" s="608" t="n"/>
    </row>
    <row r="40">
      <c r="A40" s="608" t="n"/>
      <c r="B40" s="608" t="n"/>
      <c r="C40" s="608" t="n"/>
      <c r="D40" s="608" t="n"/>
      <c r="E40" s="608" t="n"/>
      <c r="F40" s="608" t="n"/>
      <c r="G40" s="608" t="n"/>
      <c r="H40" s="608" t="n"/>
      <c r="I40" s="608" t="n"/>
      <c r="J40" s="608" t="n"/>
      <c r="K40" s="608" t="n"/>
      <c r="L40" s="608" t="n"/>
      <c r="M40" s="608" t="n"/>
      <c r="N40" s="608" t="n"/>
      <c r="O40" s="608" t="n"/>
      <c r="P40" s="608" t="n"/>
      <c r="Q40" s="608" t="n"/>
      <c r="R40" s="608" t="n"/>
      <c r="S40" s="608" t="n"/>
      <c r="T40" s="608" t="n"/>
      <c r="U40" s="608" t="n"/>
      <c r="V40" s="608" t="n"/>
      <c r="W40" s="608" t="n"/>
      <c r="X40" s="608" t="n"/>
      <c r="Y40" s="608" t="n"/>
      <c r="Z40" s="608" t="n"/>
      <c r="AA40" s="608" t="n"/>
      <c r="AB40" s="608" t="n"/>
      <c r="AC40" s="608" t="n"/>
      <c r="AD40" s="608" t="n"/>
      <c r="AE40" s="608" t="n"/>
      <c r="AF40" s="608" t="n"/>
      <c r="AG40" s="608" t="n"/>
      <c r="AH40" s="608" t="n"/>
      <c r="AI40" s="608" t="n"/>
      <c r="AJ40" s="608" t="n"/>
      <c r="AK40" s="608" t="n"/>
      <c r="AL40" s="608" t="n"/>
      <c r="AM40" s="608" t="n"/>
    </row>
    <row r="41">
      <c r="A41" s="608" t="n"/>
      <c r="B41" s="608" t="n"/>
      <c r="C41" s="608" t="n"/>
      <c r="D41" s="608" t="n"/>
      <c r="E41" s="608" t="n"/>
      <c r="F41" s="608" t="n"/>
      <c r="G41" s="608" t="n"/>
      <c r="H41" s="608" t="n"/>
      <c r="I41" s="608" t="n"/>
      <c r="J41" s="608" t="n"/>
      <c r="K41" s="608" t="n"/>
      <c r="L41" s="608" t="n"/>
      <c r="M41" s="608" t="n"/>
      <c r="N41" s="608" t="n"/>
      <c r="O41" s="608" t="n"/>
      <c r="P41" s="608" t="n"/>
      <c r="Q41" s="608" t="n"/>
      <c r="R41" s="608" t="n"/>
      <c r="S41" s="608" t="n"/>
      <c r="T41" s="608" t="n"/>
      <c r="U41" s="608" t="n"/>
      <c r="V41" s="608" t="n"/>
      <c r="W41" s="608" t="n"/>
      <c r="X41" s="608" t="n"/>
      <c r="Y41" s="608" t="n"/>
      <c r="Z41" s="608" t="n"/>
      <c r="AA41" s="608" t="n"/>
      <c r="AB41" s="608" t="n"/>
      <c r="AC41" s="608" t="n"/>
      <c r="AD41" s="608" t="n"/>
      <c r="AE41" s="608" t="n"/>
      <c r="AF41" s="608" t="n"/>
      <c r="AG41" s="608" t="n"/>
      <c r="AH41" s="608" t="n"/>
      <c r="AI41" s="608" t="n"/>
      <c r="AJ41" s="608" t="n"/>
      <c r="AK41" s="608" t="n"/>
      <c r="AL41" s="608" t="n"/>
      <c r="AM41" s="608" t="n"/>
    </row>
    <row r="42">
      <c r="A42" s="608" t="n"/>
      <c r="B42" s="608" t="n"/>
      <c r="C42" s="608" t="n"/>
      <c r="D42" s="608" t="n"/>
      <c r="E42" s="608" t="n"/>
      <c r="F42" s="608" t="n"/>
      <c r="G42" s="608" t="n"/>
      <c r="H42" s="608" t="n"/>
      <c r="I42" s="608" t="n"/>
      <c r="J42" s="608" t="n"/>
      <c r="K42" s="608" t="n"/>
      <c r="L42" s="608" t="n"/>
      <c r="M42" s="608" t="n"/>
      <c r="N42" s="608" t="n"/>
      <c r="O42" s="608" t="n"/>
      <c r="P42" s="608" t="n"/>
      <c r="Q42" s="608" t="n"/>
      <c r="R42" s="608" t="n"/>
      <c r="S42" s="608" t="n"/>
      <c r="T42" s="608" t="n"/>
      <c r="U42" s="608" t="n"/>
      <c r="V42" s="608" t="n"/>
      <c r="W42" s="608" t="n"/>
      <c r="X42" s="608" t="n"/>
      <c r="Y42" s="608" t="n"/>
      <c r="Z42" s="608" t="n"/>
      <c r="AA42" s="608" t="n"/>
      <c r="AB42" s="608" t="n"/>
      <c r="AC42" s="608" t="n"/>
      <c r="AD42" s="608" t="n"/>
      <c r="AE42" s="608" t="n"/>
      <c r="AF42" s="608" t="n"/>
      <c r="AG42" s="608" t="n"/>
      <c r="AH42" s="608" t="n"/>
      <c r="AI42" s="608" t="n"/>
      <c r="AJ42" s="608" t="n"/>
      <c r="AK42" s="608" t="n"/>
      <c r="AL42" s="608" t="n"/>
      <c r="AM42" s="608" t="n"/>
    </row>
    <row r="43">
      <c r="A43" s="608" t="n"/>
      <c r="B43" s="608" t="n"/>
      <c r="C43" s="608" t="n"/>
      <c r="D43" s="608" t="n"/>
      <c r="E43" s="608" t="n"/>
      <c r="F43" s="608" t="n"/>
      <c r="G43" s="608" t="n"/>
      <c r="H43" s="608" t="n"/>
      <c r="I43" s="608" t="n"/>
      <c r="J43" s="608" t="n"/>
      <c r="K43" s="608" t="n"/>
      <c r="L43" s="608" t="n"/>
      <c r="M43" s="608" t="n"/>
      <c r="N43" s="608" t="n"/>
      <c r="O43" s="608" t="n"/>
      <c r="P43" s="608" t="n"/>
      <c r="Q43" s="608" t="n"/>
      <c r="R43" s="608" t="n"/>
      <c r="S43" s="608" t="n"/>
      <c r="T43" s="608" t="n"/>
      <c r="U43" s="608" t="n"/>
      <c r="V43" s="608" t="n"/>
      <c r="W43" s="608" t="n"/>
      <c r="X43" s="608" t="n"/>
      <c r="Y43" s="608" t="n"/>
      <c r="Z43" s="608" t="n"/>
      <c r="AA43" s="608" t="n"/>
      <c r="AB43" s="608" t="n"/>
      <c r="AC43" s="608" t="n"/>
      <c r="AD43" s="608" t="n"/>
      <c r="AE43" s="608" t="n"/>
      <c r="AF43" s="608" t="n"/>
      <c r="AG43" s="608" t="n"/>
      <c r="AH43" s="608" t="n"/>
      <c r="AI43" s="608" t="n"/>
      <c r="AJ43" s="608" t="n"/>
      <c r="AK43" s="608" t="n"/>
      <c r="AL43" s="608" t="n"/>
      <c r="AM43" s="608" t="n"/>
    </row>
    <row r="44">
      <c r="A44" s="608" t="n"/>
      <c r="B44" s="608" t="n"/>
      <c r="C44" s="608" t="n"/>
      <c r="D44" s="608" t="n"/>
      <c r="E44" s="608" t="n"/>
      <c r="F44" s="608" t="n"/>
      <c r="G44" s="608" t="n"/>
      <c r="H44" s="608" t="n"/>
      <c r="I44" s="608" t="n"/>
      <c r="J44" s="608" t="n"/>
      <c r="K44" s="608" t="n"/>
      <c r="L44" s="608" t="n"/>
      <c r="M44" s="608" t="n"/>
      <c r="N44" s="608" t="n"/>
      <c r="O44" s="608" t="n"/>
      <c r="P44" s="608" t="n"/>
      <c r="Q44" s="608" t="n"/>
      <c r="R44" s="608" t="n"/>
      <c r="S44" s="608" t="n"/>
      <c r="T44" s="608" t="n"/>
      <c r="U44" s="608" t="n"/>
      <c r="V44" s="608" t="n"/>
      <c r="W44" s="608" t="n"/>
      <c r="X44" s="608" t="n"/>
      <c r="Y44" s="608" t="n"/>
      <c r="Z44" s="608" t="n"/>
      <c r="AA44" s="608" t="n"/>
      <c r="AB44" s="608" t="n"/>
      <c r="AC44" s="608" t="n"/>
      <c r="AD44" s="608" t="n"/>
      <c r="AE44" s="608" t="n"/>
      <c r="AF44" s="608" t="n"/>
      <c r="AG44" s="608" t="n"/>
      <c r="AH44" s="608" t="n"/>
      <c r="AI44" s="608" t="n"/>
      <c r="AJ44" s="608" t="n"/>
      <c r="AK44" s="608" t="n"/>
      <c r="AL44" s="608" t="n"/>
      <c r="AM44" s="608" t="n"/>
    </row>
    <row r="45">
      <c r="A45" s="608" t="n"/>
      <c r="B45" s="608" t="n"/>
      <c r="C45" s="608" t="n"/>
      <c r="D45" s="608" t="n"/>
      <c r="E45" s="608" t="n"/>
      <c r="F45" s="608" t="n"/>
      <c r="G45" s="608" t="n"/>
      <c r="H45" s="608" t="n"/>
      <c r="I45" s="608" t="n"/>
      <c r="J45" s="608" t="n"/>
      <c r="K45" s="608" t="n"/>
      <c r="L45" s="608" t="n"/>
      <c r="M45" s="608" t="n"/>
      <c r="N45" s="608" t="n"/>
      <c r="O45" s="608" t="n"/>
      <c r="P45" s="608" t="n"/>
      <c r="Q45" s="608" t="n"/>
      <c r="R45" s="608" t="n"/>
      <c r="S45" s="608" t="n"/>
      <c r="T45" s="608" t="n"/>
      <c r="U45" s="608" t="n"/>
      <c r="V45" s="608" t="n"/>
      <c r="W45" s="608" t="n"/>
      <c r="X45" s="608" t="n"/>
      <c r="Y45" s="608" t="n"/>
      <c r="Z45" s="608" t="n"/>
      <c r="AA45" s="608" t="n"/>
      <c r="AB45" s="608" t="n"/>
      <c r="AC45" s="608" t="n"/>
      <c r="AD45" s="608" t="n"/>
      <c r="AE45" s="608" t="n"/>
      <c r="AF45" s="608" t="n"/>
      <c r="AG45" s="608" t="n"/>
      <c r="AH45" s="608" t="n"/>
      <c r="AI45" s="608" t="n"/>
      <c r="AJ45" s="608" t="n"/>
      <c r="AK45" s="608" t="n"/>
      <c r="AL45" s="608" t="n"/>
      <c r="AM45" s="608" t="n"/>
    </row>
    <row r="46">
      <c r="A46" s="608" t="n"/>
      <c r="B46" s="608" t="n"/>
      <c r="C46" s="608" t="n"/>
      <c r="D46" s="608" t="n"/>
      <c r="E46" s="608" t="n"/>
      <c r="F46" s="608" t="n"/>
      <c r="G46" s="608" t="n"/>
      <c r="H46" s="608" t="n"/>
      <c r="I46" s="608" t="n"/>
      <c r="J46" s="608" t="n"/>
      <c r="K46" s="608" t="n"/>
      <c r="L46" s="608" t="n"/>
      <c r="M46" s="608" t="n"/>
      <c r="N46" s="608" t="n"/>
      <c r="O46" s="608" t="n"/>
      <c r="P46" s="608" t="n"/>
      <c r="Q46" s="608" t="n"/>
      <c r="R46" s="608" t="n"/>
      <c r="S46" s="608" t="n"/>
      <c r="T46" s="608" t="n"/>
      <c r="U46" s="608" t="n"/>
      <c r="V46" s="608" t="n"/>
      <c r="W46" s="608" t="n"/>
      <c r="X46" s="608" t="n"/>
      <c r="Y46" s="608" t="n"/>
      <c r="Z46" s="608" t="n"/>
      <c r="AA46" s="608" t="n"/>
      <c r="AB46" s="608" t="n"/>
      <c r="AC46" s="608" t="n"/>
      <c r="AD46" s="608" t="n"/>
      <c r="AE46" s="608" t="n"/>
      <c r="AF46" s="608" t="n"/>
      <c r="AG46" s="608" t="n"/>
      <c r="AH46" s="608" t="n"/>
      <c r="AI46" s="608" t="n"/>
      <c r="AJ46" s="608" t="n"/>
      <c r="AK46" s="608" t="n"/>
      <c r="AL46" s="608" t="n"/>
      <c r="AM46" s="608" t="n"/>
    </row>
    <row r="47">
      <c r="A47" s="608" t="n"/>
      <c r="B47" s="608" t="n"/>
      <c r="C47" s="608" t="n"/>
      <c r="D47" s="608" t="n"/>
      <c r="E47" s="608" t="n"/>
      <c r="F47" s="608" t="n"/>
      <c r="G47" s="608" t="n"/>
      <c r="H47" s="608" t="n"/>
      <c r="I47" s="608" t="n"/>
      <c r="J47" s="608" t="n"/>
      <c r="K47" s="608" t="n"/>
      <c r="L47" s="608" t="n"/>
      <c r="M47" s="608" t="n"/>
      <c r="N47" s="608" t="n"/>
      <c r="O47" s="608" t="n"/>
      <c r="P47" s="608" t="n"/>
      <c r="Q47" s="608" t="n"/>
      <c r="R47" s="608" t="n"/>
      <c r="S47" s="608" t="n"/>
      <c r="T47" s="608" t="n"/>
      <c r="U47" s="608" t="n"/>
      <c r="V47" s="608" t="n"/>
      <c r="W47" s="608" t="n"/>
      <c r="X47" s="608" t="n"/>
      <c r="Y47" s="608" t="n"/>
      <c r="Z47" s="608" t="n"/>
      <c r="AA47" s="608" t="n"/>
      <c r="AB47" s="608" t="n"/>
      <c r="AC47" s="608" t="n"/>
      <c r="AD47" s="608" t="n"/>
      <c r="AE47" s="608" t="n"/>
      <c r="AF47" s="608" t="n"/>
      <c r="AG47" s="608" t="n"/>
      <c r="AH47" s="608" t="n"/>
      <c r="AI47" s="608" t="n"/>
      <c r="AJ47" s="608" t="n"/>
      <c r="AK47" s="608" t="n"/>
      <c r="AL47" s="608" t="n"/>
      <c r="AM47" s="608" t="n"/>
    </row>
    <row r="48">
      <c r="A48" s="608" t="n"/>
      <c r="B48" s="608" t="n"/>
      <c r="C48" s="608" t="n"/>
      <c r="D48" s="608" t="n"/>
      <c r="E48" s="608" t="n"/>
      <c r="F48" s="608" t="n"/>
      <c r="G48" s="608" t="n"/>
      <c r="H48" s="608" t="n"/>
      <c r="I48" s="608" t="n"/>
      <c r="J48" s="608" t="n"/>
      <c r="K48" s="608" t="n"/>
      <c r="L48" s="608" t="n"/>
      <c r="M48" s="608" t="n"/>
      <c r="N48" s="608" t="n"/>
      <c r="O48" s="608" t="n"/>
      <c r="P48" s="608" t="n"/>
      <c r="Q48" s="608" t="n"/>
      <c r="R48" s="608" t="n"/>
      <c r="S48" s="608" t="n"/>
      <c r="T48" s="608" t="n"/>
      <c r="U48" s="608" t="n"/>
      <c r="V48" s="608" t="n"/>
      <c r="W48" s="608" t="n"/>
      <c r="X48" s="608" t="n"/>
      <c r="Y48" s="608" t="n"/>
      <c r="Z48" s="608" t="n"/>
      <c r="AA48" s="608" t="n"/>
      <c r="AB48" s="608" t="n"/>
      <c r="AC48" s="608" t="n"/>
      <c r="AD48" s="608" t="n"/>
      <c r="AE48" s="608" t="n"/>
      <c r="AF48" s="608" t="n"/>
      <c r="AG48" s="608" t="n"/>
      <c r="AH48" s="608" t="n"/>
      <c r="AI48" s="608" t="n"/>
      <c r="AJ48" s="608" t="n"/>
      <c r="AK48" s="608" t="n"/>
      <c r="AL48" s="608" t="n"/>
      <c r="AM48" s="608" t="n"/>
    </row>
    <row r="49">
      <c r="A49" s="608" t="n"/>
      <c r="B49" s="608" t="n"/>
      <c r="C49" s="608" t="n"/>
      <c r="D49" s="608" t="n"/>
      <c r="E49" s="608" t="n"/>
      <c r="F49" s="608" t="n"/>
      <c r="G49" s="608" t="n"/>
      <c r="H49" s="608" t="n"/>
      <c r="I49" s="608" t="n"/>
      <c r="J49" s="608" t="n"/>
      <c r="K49" s="608" t="n"/>
      <c r="L49" s="608" t="n"/>
      <c r="M49" s="608" t="n"/>
      <c r="N49" s="608" t="n"/>
      <c r="O49" s="608" t="n"/>
      <c r="P49" s="608" t="n"/>
      <c r="Q49" s="608" t="n"/>
      <c r="R49" s="608" t="n"/>
      <c r="S49" s="608" t="n"/>
      <c r="T49" s="608" t="n"/>
      <c r="U49" s="608" t="n"/>
      <c r="V49" s="608" t="n"/>
      <c r="W49" s="608" t="n"/>
      <c r="X49" s="608" t="n"/>
      <c r="Y49" s="608" t="n"/>
      <c r="Z49" s="608" t="n"/>
      <c r="AA49" s="608" t="n"/>
      <c r="AB49" s="608" t="n"/>
      <c r="AC49" s="608" t="n"/>
      <c r="AD49" s="608" t="n"/>
      <c r="AE49" s="608" t="n"/>
      <c r="AF49" s="608" t="n"/>
      <c r="AG49" s="608" t="n"/>
      <c r="AH49" s="608" t="n"/>
      <c r="AI49" s="608" t="n"/>
      <c r="AJ49" s="608" t="n"/>
      <c r="AK49" s="608" t="n"/>
      <c r="AL49" s="608" t="n"/>
      <c r="AM49" s="608" t="n"/>
    </row>
    <row r="50">
      <c r="A50" s="608" t="n"/>
      <c r="B50" s="608" t="n"/>
      <c r="C50" s="608" t="n"/>
      <c r="D50" s="608" t="n"/>
      <c r="E50" s="608" t="n"/>
      <c r="F50" s="608" t="n"/>
      <c r="G50" s="608" t="n"/>
      <c r="H50" s="608" t="n"/>
      <c r="I50" s="608" t="n"/>
      <c r="J50" s="608" t="n"/>
      <c r="K50" s="608" t="n"/>
      <c r="L50" s="608" t="n"/>
      <c r="M50" s="608" t="n"/>
      <c r="N50" s="608" t="n"/>
      <c r="O50" s="608" t="n"/>
      <c r="P50" s="608" t="n"/>
      <c r="Q50" s="608" t="n"/>
      <c r="R50" s="608" t="n"/>
      <c r="S50" s="608" t="n"/>
      <c r="T50" s="608" t="n"/>
      <c r="U50" s="608" t="n"/>
      <c r="V50" s="608" t="n"/>
      <c r="W50" s="608" t="n"/>
      <c r="X50" s="608" t="n"/>
      <c r="Y50" s="608" t="n"/>
      <c r="Z50" s="608" t="n"/>
      <c r="AA50" s="608" t="n"/>
      <c r="AB50" s="608" t="n"/>
      <c r="AC50" s="608" t="n"/>
      <c r="AD50" s="608" t="n"/>
      <c r="AE50" s="608" t="n"/>
      <c r="AF50" s="608" t="n"/>
      <c r="AG50" s="608" t="n"/>
      <c r="AH50" s="608" t="n"/>
      <c r="AI50" s="608" t="n"/>
      <c r="AJ50" s="608" t="n"/>
      <c r="AK50" s="608" t="n"/>
      <c r="AL50" s="608" t="n"/>
      <c r="AM50" s="608" t="n"/>
    </row>
    <row r="51">
      <c r="A51" s="608" t="n"/>
      <c r="B51" s="608" t="n"/>
      <c r="C51" s="608" t="n"/>
      <c r="D51" s="608" t="n"/>
      <c r="E51" s="608" t="n"/>
      <c r="F51" s="608" t="n"/>
      <c r="G51" s="608" t="n"/>
      <c r="H51" s="608" t="n"/>
      <c r="I51" s="608" t="n"/>
      <c r="J51" s="608" t="n"/>
      <c r="K51" s="608" t="n"/>
      <c r="L51" s="608" t="n"/>
      <c r="M51" s="608" t="n"/>
      <c r="N51" s="608" t="n"/>
      <c r="O51" s="608" t="n"/>
      <c r="P51" s="608" t="n"/>
      <c r="Q51" s="608" t="n"/>
      <c r="R51" s="608" t="n"/>
      <c r="S51" s="608" t="n"/>
      <c r="T51" s="608" t="n"/>
      <c r="U51" s="608" t="n"/>
      <c r="V51" s="608" t="n"/>
      <c r="W51" s="608" t="n"/>
      <c r="X51" s="608" t="n"/>
      <c r="Y51" s="608" t="n"/>
      <c r="Z51" s="608" t="n"/>
      <c r="AA51" s="608" t="n"/>
      <c r="AB51" s="608" t="n"/>
      <c r="AC51" s="608" t="n"/>
      <c r="AD51" s="608" t="n"/>
      <c r="AE51" s="608" t="n"/>
      <c r="AF51" s="608" t="n"/>
      <c r="AG51" s="608" t="n"/>
      <c r="AH51" s="608" t="n"/>
      <c r="AI51" s="608" t="n"/>
      <c r="AJ51" s="608" t="n"/>
      <c r="AK51" s="608" t="n"/>
      <c r="AL51" s="608" t="n"/>
      <c r="AM51" s="608" t="n"/>
    </row>
    <row r="52">
      <c r="A52" s="608" t="n"/>
      <c r="B52" s="608" t="n"/>
      <c r="C52" s="608" t="n"/>
      <c r="D52" s="608" t="n"/>
      <c r="E52" s="608" t="n"/>
      <c r="F52" s="608" t="n"/>
      <c r="G52" s="608" t="n"/>
      <c r="H52" s="608" t="n"/>
      <c r="I52" s="608" t="n"/>
      <c r="J52" s="608" t="n"/>
      <c r="K52" s="608" t="n"/>
      <c r="L52" s="608" t="n"/>
      <c r="M52" s="608" t="n"/>
      <c r="N52" s="608" t="n"/>
      <c r="O52" s="608" t="n"/>
      <c r="P52" s="608" t="n"/>
      <c r="Q52" s="608" t="n"/>
      <c r="R52" s="608" t="n"/>
      <c r="S52" s="608" t="n"/>
      <c r="T52" s="608" t="n"/>
      <c r="U52" s="608" t="n"/>
      <c r="V52" s="608" t="n"/>
      <c r="W52" s="608" t="n"/>
      <c r="X52" s="608" t="n"/>
      <c r="Y52" s="608" t="n"/>
      <c r="Z52" s="608" t="n"/>
      <c r="AA52" s="608" t="n"/>
      <c r="AB52" s="608" t="n"/>
      <c r="AC52" s="608" t="n"/>
      <c r="AD52" s="608" t="n"/>
      <c r="AE52" s="608" t="n"/>
      <c r="AF52" s="608" t="n"/>
      <c r="AG52" s="608" t="n"/>
      <c r="AH52" s="608" t="n"/>
      <c r="AI52" s="608" t="n"/>
      <c r="AJ52" s="608" t="n"/>
      <c r="AK52" s="608" t="n"/>
      <c r="AL52" s="608" t="n"/>
      <c r="AM52" s="608" t="n"/>
    </row>
    <row r="53">
      <c r="A53" s="608" t="n"/>
      <c r="B53" s="608" t="n"/>
      <c r="C53" s="608" t="n"/>
      <c r="D53" s="608" t="n"/>
      <c r="E53" s="608" t="n"/>
      <c r="F53" s="608" t="n"/>
      <c r="G53" s="608" t="n"/>
      <c r="H53" s="608" t="n"/>
      <c r="I53" s="608" t="n"/>
      <c r="J53" s="608" t="n"/>
      <c r="K53" s="608" t="n"/>
      <c r="L53" s="608" t="n"/>
      <c r="M53" s="608" t="n"/>
      <c r="N53" s="608" t="n"/>
      <c r="O53" s="608" t="n"/>
      <c r="P53" s="608" t="n"/>
      <c r="Q53" s="608" t="n"/>
      <c r="R53" s="608" t="n"/>
      <c r="S53" s="608" t="n"/>
      <c r="T53" s="608" t="n"/>
      <c r="U53" s="608" t="n"/>
      <c r="V53" s="608" t="n"/>
      <c r="W53" s="608" t="n"/>
      <c r="X53" s="608" t="n"/>
      <c r="Y53" s="608" t="n"/>
      <c r="Z53" s="608" t="n"/>
      <c r="AA53" s="608" t="n"/>
      <c r="AB53" s="608" t="n"/>
      <c r="AC53" s="608" t="n"/>
      <c r="AD53" s="608" t="n"/>
      <c r="AE53" s="608" t="n"/>
      <c r="AF53" s="608" t="n"/>
      <c r="AG53" s="608" t="n"/>
      <c r="AH53" s="608" t="n"/>
      <c r="AI53" s="608" t="n"/>
      <c r="AJ53" s="608" t="n"/>
      <c r="AK53" s="608" t="n"/>
      <c r="AL53" s="608" t="n"/>
      <c r="AM53" s="608" t="n"/>
    </row>
    <row r="54">
      <c r="A54" s="608" t="n"/>
      <c r="B54" s="608" t="n"/>
      <c r="C54" s="608" t="n"/>
      <c r="D54" s="608" t="n"/>
      <c r="E54" s="608" t="n"/>
      <c r="F54" s="608" t="n"/>
      <c r="G54" s="608" t="n"/>
      <c r="H54" s="608" t="n"/>
      <c r="I54" s="608" t="n"/>
      <c r="J54" s="608" t="n"/>
      <c r="K54" s="608" t="n"/>
      <c r="L54" s="608" t="n"/>
      <c r="M54" s="608" t="n"/>
      <c r="N54" s="608" t="n"/>
      <c r="O54" s="608" t="n"/>
      <c r="P54" s="608" t="n"/>
      <c r="Q54" s="608" t="n"/>
      <c r="R54" s="608" t="n"/>
      <c r="S54" s="608" t="n"/>
      <c r="T54" s="608" t="n"/>
      <c r="U54" s="608" t="n"/>
      <c r="V54" s="608" t="n"/>
      <c r="W54" s="608" t="n"/>
      <c r="X54" s="608" t="n"/>
      <c r="Y54" s="608" t="n"/>
      <c r="Z54" s="608" t="n"/>
      <c r="AA54" s="608" t="n"/>
      <c r="AB54" s="608" t="n"/>
      <c r="AC54" s="608" t="n"/>
      <c r="AD54" s="608" t="n"/>
      <c r="AE54" s="608" t="n"/>
      <c r="AF54" s="608" t="n"/>
      <c r="AG54" s="608" t="n"/>
      <c r="AH54" s="608" t="n"/>
      <c r="AI54" s="608" t="n"/>
      <c r="AJ54" s="608" t="n"/>
      <c r="AK54" s="608" t="n"/>
      <c r="AL54" s="608" t="n"/>
      <c r="AM54" s="608" t="n"/>
    </row>
    <row r="55">
      <c r="A55" s="608" t="n"/>
      <c r="B55" s="608" t="n"/>
      <c r="C55" s="608" t="n"/>
      <c r="D55" s="608" t="n"/>
      <c r="E55" s="608" t="n"/>
      <c r="F55" s="608" t="n"/>
      <c r="G55" s="608" t="n"/>
      <c r="H55" s="608" t="n"/>
      <c r="I55" s="608" t="n"/>
      <c r="J55" s="608" t="n"/>
      <c r="K55" s="608" t="n"/>
      <c r="L55" s="608" t="n"/>
      <c r="M55" s="608" t="n"/>
      <c r="N55" s="608" t="n"/>
      <c r="O55" s="608" t="n"/>
      <c r="P55" s="608" t="n"/>
      <c r="Q55" s="608" t="n"/>
      <c r="R55" s="608" t="n"/>
      <c r="S55" s="608" t="n"/>
      <c r="T55" s="608" t="n"/>
      <c r="U55" s="608" t="n"/>
      <c r="V55" s="608" t="n"/>
      <c r="W55" s="608" t="n"/>
      <c r="X55" s="608" t="n"/>
      <c r="Y55" s="608" t="n"/>
      <c r="Z55" s="608" t="n"/>
      <c r="AA55" s="608" t="n"/>
      <c r="AB55" s="608" t="n"/>
      <c r="AC55" s="608" t="n"/>
      <c r="AD55" s="608" t="n"/>
      <c r="AE55" s="608" t="n"/>
      <c r="AF55" s="608" t="n"/>
      <c r="AG55" s="608" t="n"/>
      <c r="AH55" s="608" t="n"/>
      <c r="AI55" s="608" t="n"/>
      <c r="AJ55" s="608" t="n"/>
      <c r="AK55" s="608" t="n"/>
      <c r="AL55" s="608" t="n"/>
      <c r="AM55" s="608" t="n"/>
    </row>
    <row r="56">
      <c r="A56" s="608" t="n"/>
      <c r="B56" s="608" t="n"/>
      <c r="C56" s="608" t="n"/>
      <c r="D56" s="608" t="n"/>
      <c r="E56" s="608" t="n"/>
      <c r="F56" s="608" t="n"/>
      <c r="G56" s="608" t="n"/>
      <c r="H56" s="608" t="n"/>
      <c r="I56" s="608" t="n"/>
      <c r="J56" s="608" t="n"/>
      <c r="K56" s="608" t="n"/>
      <c r="L56" s="608" t="n"/>
      <c r="M56" s="608" t="n"/>
      <c r="N56" s="608" t="n"/>
      <c r="O56" s="608" t="n"/>
      <c r="P56" s="608" t="n"/>
      <c r="Q56" s="608" t="n"/>
      <c r="R56" s="608" t="n"/>
      <c r="S56" s="608" t="n"/>
      <c r="T56" s="608" t="n"/>
      <c r="U56" s="608" t="n"/>
      <c r="V56" s="608" t="n"/>
      <c r="W56" s="608" t="n"/>
      <c r="X56" s="608" t="n"/>
      <c r="Y56" s="608" t="n"/>
      <c r="Z56" s="608" t="n"/>
      <c r="AA56" s="608" t="n"/>
      <c r="AB56" s="608" t="n"/>
      <c r="AC56" s="608" t="n"/>
      <c r="AD56" s="608" t="n"/>
      <c r="AE56" s="608" t="n"/>
      <c r="AF56" s="608" t="n"/>
      <c r="AG56" s="608" t="n"/>
      <c r="AH56" s="608" t="n"/>
      <c r="AI56" s="608" t="n"/>
      <c r="AJ56" s="608" t="n"/>
      <c r="AK56" s="608" t="n"/>
      <c r="AL56" s="608" t="n"/>
      <c r="AM56" s="608" t="n"/>
    </row>
    <row r="57">
      <c r="A57" s="608" t="n"/>
      <c r="B57" s="608" t="n"/>
      <c r="C57" s="608" t="n"/>
      <c r="D57" s="608" t="n"/>
      <c r="E57" s="608" t="n"/>
      <c r="F57" s="608" t="n"/>
      <c r="G57" s="608" t="n"/>
      <c r="H57" s="608" t="n"/>
      <c r="I57" s="608" t="n"/>
      <c r="J57" s="608" t="n"/>
      <c r="K57" s="608" t="n"/>
      <c r="L57" s="608" t="n"/>
      <c r="M57" s="608" t="n"/>
      <c r="N57" s="608" t="n"/>
      <c r="O57" s="608" t="n"/>
      <c r="P57" s="608" t="n"/>
      <c r="Q57" s="608" t="n"/>
      <c r="R57" s="608" t="n"/>
      <c r="S57" s="608" t="n"/>
      <c r="T57" s="608" t="n"/>
      <c r="U57" s="608" t="n"/>
      <c r="V57" s="608" t="n"/>
      <c r="W57" s="608" t="n"/>
      <c r="X57" s="608" t="n"/>
      <c r="Y57" s="608" t="n"/>
      <c r="Z57" s="608" t="n"/>
      <c r="AA57" s="608" t="n"/>
      <c r="AB57" s="608" t="n"/>
      <c r="AC57" s="608" t="n"/>
      <c r="AD57" s="608" t="n"/>
      <c r="AE57" s="608" t="n"/>
      <c r="AF57" s="608" t="n"/>
      <c r="AG57" s="608" t="n"/>
      <c r="AH57" s="608" t="n"/>
      <c r="AI57" s="608" t="n"/>
      <c r="AJ57" s="608" t="n"/>
      <c r="AK57" s="608" t="n"/>
      <c r="AL57" s="608" t="n"/>
      <c r="AM57" s="608" t="n"/>
    </row>
    <row r="58">
      <c r="A58" s="608" t="n"/>
      <c r="B58" s="608" t="n"/>
      <c r="C58" s="608" t="n"/>
      <c r="D58" s="608" t="n"/>
      <c r="E58" s="608" t="n"/>
      <c r="F58" s="608" t="n"/>
      <c r="G58" s="608" t="n"/>
      <c r="H58" s="608" t="n"/>
      <c r="I58" s="608" t="n"/>
      <c r="J58" s="608" t="n"/>
      <c r="K58" s="608" t="n"/>
      <c r="L58" s="608" t="n"/>
      <c r="M58" s="608" t="n"/>
      <c r="N58" s="608" t="n"/>
      <c r="O58" s="608" t="n"/>
      <c r="P58" s="608" t="n"/>
      <c r="Q58" s="608" t="n"/>
      <c r="R58" s="608" t="n"/>
      <c r="S58" s="608" t="n"/>
      <c r="T58" s="608" t="n"/>
      <c r="U58" s="608" t="n"/>
      <c r="V58" s="608" t="n"/>
      <c r="W58" s="608" t="n"/>
      <c r="X58" s="608" t="n"/>
      <c r="Y58" s="608" t="n"/>
      <c r="Z58" s="608" t="n"/>
      <c r="AA58" s="608" t="n"/>
      <c r="AB58" s="608" t="n"/>
      <c r="AC58" s="608" t="n"/>
      <c r="AD58" s="608" t="n"/>
      <c r="AE58" s="608" t="n"/>
      <c r="AF58" s="608" t="n"/>
      <c r="AG58" s="608" t="n"/>
      <c r="AH58" s="608" t="n"/>
      <c r="AI58" s="608" t="n"/>
      <c r="AJ58" s="608" t="n"/>
      <c r="AK58" s="608" t="n"/>
      <c r="AL58" s="608" t="n"/>
      <c r="AM58" s="608" t="n"/>
    </row>
    <row r="59">
      <c r="A59" s="608" t="n"/>
      <c r="B59" s="608" t="n"/>
      <c r="C59" s="608" t="n"/>
      <c r="D59" s="608" t="n"/>
      <c r="E59" s="608" t="n"/>
      <c r="F59" s="608" t="n"/>
      <c r="G59" s="608" t="n"/>
      <c r="H59" s="608" t="n"/>
      <c r="I59" s="608" t="n"/>
      <c r="J59" s="608" t="n"/>
      <c r="K59" s="608" t="n"/>
      <c r="L59" s="608" t="n"/>
      <c r="M59" s="608" t="n"/>
      <c r="N59" s="608" t="n"/>
      <c r="O59" s="608" t="n"/>
      <c r="P59" s="608" t="n"/>
      <c r="Q59" s="608" t="n"/>
      <c r="R59" s="608" t="n"/>
      <c r="S59" s="608" t="n"/>
      <c r="T59" s="608" t="n"/>
      <c r="U59" s="608" t="n"/>
      <c r="V59" s="608" t="n"/>
      <c r="W59" s="608" t="n"/>
      <c r="X59" s="608" t="n"/>
      <c r="Y59" s="608" t="n"/>
      <c r="Z59" s="608" t="n"/>
      <c r="AA59" s="608" t="n"/>
      <c r="AB59" s="608" t="n"/>
      <c r="AC59" s="608" t="n"/>
      <c r="AD59" s="608" t="n"/>
      <c r="AE59" s="608" t="n"/>
      <c r="AF59" s="608" t="n"/>
      <c r="AG59" s="608" t="n"/>
      <c r="AH59" s="608" t="n"/>
      <c r="AI59" s="608" t="n"/>
      <c r="AJ59" s="608" t="n"/>
      <c r="AK59" s="608" t="n"/>
      <c r="AL59" s="608" t="n"/>
      <c r="AM59" s="608" t="n"/>
    </row>
    <row r="60">
      <c r="A60" s="608" t="n"/>
      <c r="B60" s="608" t="n"/>
      <c r="C60" s="608" t="n"/>
      <c r="D60" s="608" t="n"/>
      <c r="E60" s="608" t="n"/>
      <c r="F60" s="608" t="n"/>
      <c r="G60" s="608" t="n"/>
      <c r="H60" s="608" t="n"/>
      <c r="I60" s="608" t="n"/>
      <c r="J60" s="608" t="n"/>
      <c r="K60" s="608" t="n"/>
      <c r="L60" s="608" t="n"/>
      <c r="M60" s="608" t="n"/>
      <c r="N60" s="608" t="n"/>
      <c r="O60" s="608" t="n"/>
      <c r="P60" s="608" t="n"/>
      <c r="Q60" s="608" t="n"/>
      <c r="R60" s="608" t="n"/>
      <c r="S60" s="608" t="n"/>
      <c r="T60" s="608" t="n"/>
      <c r="U60" s="608" t="n"/>
      <c r="V60" s="608" t="n"/>
      <c r="W60" s="608" t="n"/>
      <c r="X60" s="608" t="n"/>
      <c r="Y60" s="608" t="n"/>
      <c r="Z60" s="608" t="n"/>
      <c r="AA60" s="608" t="n"/>
      <c r="AB60" s="608" t="n"/>
      <c r="AC60" s="608" t="n"/>
      <c r="AD60" s="608" t="n"/>
      <c r="AE60" s="608" t="n"/>
      <c r="AF60" s="608" t="n"/>
      <c r="AG60" s="608" t="n"/>
      <c r="AH60" s="608" t="n"/>
      <c r="AI60" s="608" t="n"/>
      <c r="AJ60" s="608" t="n"/>
      <c r="AK60" s="608" t="n"/>
      <c r="AL60" s="608" t="n"/>
      <c r="AM60" s="608" t="n"/>
    </row>
    <row r="61">
      <c r="A61" s="608" t="n"/>
      <c r="B61" s="608" t="n"/>
      <c r="C61" s="608" t="n"/>
      <c r="D61" s="608" t="n"/>
      <c r="E61" s="608" t="n"/>
      <c r="F61" s="608" t="n"/>
      <c r="G61" s="608" t="n"/>
      <c r="H61" s="608" t="n"/>
      <c r="I61" s="608" t="n"/>
      <c r="J61" s="608" t="n"/>
      <c r="K61" s="608" t="n"/>
      <c r="L61" s="608" t="n"/>
      <c r="M61" s="608" t="n"/>
      <c r="N61" s="608" t="n"/>
      <c r="O61" s="608" t="n"/>
      <c r="P61" s="608" t="n"/>
      <c r="Q61" s="608" t="n"/>
      <c r="R61" s="608" t="n"/>
      <c r="S61" s="608" t="n"/>
      <c r="T61" s="608" t="n"/>
      <c r="U61" s="608" t="n"/>
      <c r="V61" s="608" t="n"/>
      <c r="W61" s="608" t="n"/>
      <c r="X61" s="608" t="n"/>
      <c r="Y61" s="608" t="n"/>
      <c r="Z61" s="608" t="n"/>
      <c r="AA61" s="608" t="n"/>
      <c r="AB61" s="608" t="n"/>
      <c r="AC61" s="608" t="n"/>
      <c r="AD61" s="608" t="n"/>
      <c r="AE61" s="608" t="n"/>
      <c r="AF61" s="608" t="n"/>
      <c r="AG61" s="608" t="n"/>
      <c r="AH61" s="608" t="n"/>
      <c r="AI61" s="608" t="n"/>
      <c r="AJ61" s="608" t="n"/>
      <c r="AK61" s="608" t="n"/>
      <c r="AL61" s="608" t="n"/>
      <c r="AM61" s="608" t="n"/>
    </row>
    <row r="62">
      <c r="A62" s="608" t="n"/>
      <c r="B62" s="608" t="n"/>
      <c r="C62" s="608" t="n"/>
      <c r="D62" s="608" t="n"/>
      <c r="E62" s="608" t="n"/>
      <c r="F62" s="608" t="n"/>
      <c r="G62" s="608" t="n"/>
      <c r="H62" s="608" t="n"/>
      <c r="I62" s="608" t="n"/>
      <c r="J62" s="608" t="n"/>
      <c r="K62" s="608" t="n"/>
      <c r="L62" s="608" t="n"/>
      <c r="M62" s="608" t="n"/>
      <c r="N62" s="608" t="n"/>
      <c r="O62" s="608" t="n"/>
      <c r="P62" s="608" t="n"/>
      <c r="Q62" s="608" t="n"/>
      <c r="R62" s="608" t="n"/>
      <c r="S62" s="608" t="n"/>
      <c r="T62" s="608" t="n"/>
      <c r="U62" s="608" t="n"/>
      <c r="V62" s="608" t="n"/>
      <c r="W62" s="608" t="n"/>
      <c r="X62" s="608" t="n"/>
      <c r="Y62" s="608" t="n"/>
      <c r="Z62" s="608" t="n"/>
      <c r="AA62" s="608" t="n"/>
      <c r="AB62" s="608" t="n"/>
      <c r="AC62" s="608" t="n"/>
      <c r="AD62" s="608" t="n"/>
      <c r="AE62" s="608" t="n"/>
      <c r="AF62" s="608" t="n"/>
      <c r="AG62" s="608" t="n"/>
      <c r="AH62" s="608" t="n"/>
      <c r="AI62" s="608" t="n"/>
      <c r="AJ62" s="608" t="n"/>
      <c r="AK62" s="608" t="n"/>
      <c r="AL62" s="608" t="n"/>
      <c r="AM62" s="608" t="n"/>
    </row>
    <row r="63">
      <c r="A63" s="608" t="n"/>
      <c r="B63" s="608" t="n"/>
      <c r="C63" s="608" t="n"/>
      <c r="D63" s="608" t="n"/>
      <c r="E63" s="608" t="n"/>
      <c r="F63" s="608" t="n"/>
      <c r="G63" s="608" t="n"/>
      <c r="H63" s="608" t="n"/>
      <c r="I63" s="608" t="n"/>
      <c r="J63" s="608" t="n"/>
      <c r="K63" s="608" t="n"/>
      <c r="L63" s="608" t="n"/>
      <c r="M63" s="608" t="n"/>
      <c r="N63" s="608" t="n"/>
      <c r="O63" s="608" t="n"/>
      <c r="P63" s="608" t="n"/>
      <c r="Q63" s="608" t="n"/>
      <c r="R63" s="608" t="n"/>
      <c r="S63" s="608" t="n"/>
      <c r="T63" s="608" t="n"/>
      <c r="U63" s="608" t="n"/>
      <c r="V63" s="608" t="n"/>
      <c r="W63" s="608" t="n"/>
      <c r="X63" s="608" t="n"/>
      <c r="Y63" s="608" t="n"/>
      <c r="Z63" s="608" t="n"/>
      <c r="AA63" s="608" t="n"/>
      <c r="AB63" s="608" t="n"/>
      <c r="AC63" s="608" t="n"/>
      <c r="AD63" s="608" t="n"/>
      <c r="AE63" s="608" t="n"/>
      <c r="AF63" s="608" t="n"/>
      <c r="AG63" s="608" t="n"/>
      <c r="AH63" s="608" t="n"/>
      <c r="AI63" s="608" t="n"/>
      <c r="AJ63" s="608" t="n"/>
      <c r="AK63" s="608" t="n"/>
      <c r="AL63" s="608" t="n"/>
      <c r="AM63" s="608" t="n"/>
    </row>
    <row r="64">
      <c r="A64" s="608" t="n"/>
      <c r="B64" s="608" t="n"/>
      <c r="C64" s="608" t="n"/>
      <c r="D64" s="608" t="n"/>
      <c r="E64" s="608" t="n"/>
      <c r="F64" s="608" t="n"/>
      <c r="G64" s="608" t="n"/>
      <c r="H64" s="608" t="n"/>
      <c r="I64" s="608" t="n"/>
      <c r="J64" s="608" t="n"/>
      <c r="K64" s="608" t="n"/>
      <c r="L64" s="608" t="n"/>
      <c r="M64" s="608" t="n"/>
      <c r="N64" s="608" t="n"/>
      <c r="O64" s="608" t="n"/>
      <c r="P64" s="608" t="n"/>
      <c r="Q64" s="608" t="n"/>
      <c r="R64" s="608" t="n"/>
      <c r="S64" s="608" t="n"/>
      <c r="T64" s="608" t="n"/>
      <c r="U64" s="608" t="n"/>
      <c r="V64" s="608" t="n"/>
      <c r="W64" s="608" t="n"/>
      <c r="X64" s="608" t="n"/>
      <c r="Y64" s="608" t="n"/>
      <c r="Z64" s="608" t="n"/>
      <c r="AA64" s="608" t="n"/>
      <c r="AB64" s="608" t="n"/>
      <c r="AC64" s="608" t="n"/>
      <c r="AD64" s="608" t="n"/>
      <c r="AE64" s="608" t="n"/>
      <c r="AF64" s="608" t="n"/>
      <c r="AG64" s="608" t="n"/>
      <c r="AH64" s="608" t="n"/>
      <c r="AI64" s="608" t="n"/>
      <c r="AJ64" s="608" t="n"/>
      <c r="AK64" s="608" t="n"/>
      <c r="AL64" s="608" t="n"/>
      <c r="AM64" s="608" t="n"/>
    </row>
    <row r="65">
      <c r="A65" s="608" t="n"/>
      <c r="B65" s="608" t="n"/>
      <c r="C65" s="608" t="n"/>
      <c r="D65" s="608" t="n"/>
      <c r="E65" s="608" t="n"/>
      <c r="F65" s="608" t="n"/>
      <c r="G65" s="608" t="n"/>
      <c r="H65" s="608" t="n"/>
      <c r="I65" s="608" t="n"/>
      <c r="J65" s="608" t="n"/>
      <c r="K65" s="608" t="n"/>
      <c r="L65" s="608" t="n"/>
      <c r="M65" s="608" t="n"/>
      <c r="N65" s="608" t="n"/>
      <c r="O65" s="608" t="n"/>
      <c r="P65" s="608" t="n"/>
      <c r="Q65" s="608" t="n"/>
      <c r="R65" s="608" t="n"/>
      <c r="S65" s="608" t="n"/>
      <c r="T65" s="608" t="n"/>
      <c r="U65" s="608" t="n"/>
      <c r="V65" s="608" t="n"/>
      <c r="W65" s="608" t="n"/>
      <c r="X65" s="608" t="n"/>
      <c r="Y65" s="608" t="n"/>
      <c r="Z65" s="608" t="n"/>
      <c r="AA65" s="608" t="n"/>
      <c r="AB65" s="608" t="n"/>
      <c r="AC65" s="608" t="n"/>
      <c r="AD65" s="608" t="n"/>
      <c r="AE65" s="608" t="n"/>
      <c r="AF65" s="608" t="n"/>
      <c r="AG65" s="608" t="n"/>
      <c r="AH65" s="608" t="n"/>
      <c r="AI65" s="608" t="n"/>
      <c r="AJ65" s="608" t="n"/>
      <c r="AK65" s="608" t="n"/>
      <c r="AL65" s="608" t="n"/>
      <c r="AM65" s="608" t="n"/>
    </row>
    <row r="66">
      <c r="A66" s="608" t="n"/>
      <c r="B66" s="608" t="n"/>
      <c r="C66" s="608" t="n"/>
      <c r="D66" s="608" t="n"/>
      <c r="E66" s="608" t="n"/>
      <c r="F66" s="608" t="n"/>
      <c r="G66" s="608" t="n"/>
      <c r="H66" s="608" t="n"/>
      <c r="I66" s="608" t="n"/>
      <c r="J66" s="608" t="n"/>
      <c r="K66" s="608" t="n"/>
      <c r="L66" s="608" t="n"/>
      <c r="M66" s="608" t="n"/>
      <c r="N66" s="608" t="n"/>
      <c r="O66" s="608" t="n"/>
      <c r="P66" s="608" t="n"/>
      <c r="Q66" s="608" t="n"/>
      <c r="R66" s="608" t="n"/>
      <c r="S66" s="608" t="n"/>
      <c r="T66" s="608" t="n"/>
      <c r="U66" s="608" t="n"/>
      <c r="V66" s="608" t="n"/>
      <c r="W66" s="608" t="n"/>
      <c r="X66" s="608" t="n"/>
      <c r="Y66" s="608" t="n"/>
      <c r="Z66" s="608" t="n"/>
      <c r="AA66" s="608" t="n"/>
      <c r="AB66" s="608" t="n"/>
      <c r="AC66" s="608" t="n"/>
      <c r="AD66" s="608" t="n"/>
      <c r="AE66" s="608" t="n"/>
      <c r="AF66" s="608" t="n"/>
      <c r="AG66" s="608" t="n"/>
      <c r="AH66" s="608" t="n"/>
      <c r="AI66" s="608" t="n"/>
      <c r="AJ66" s="608" t="n"/>
      <c r="AK66" s="608" t="n"/>
      <c r="AL66" s="608" t="n"/>
      <c r="AM66" s="608" t="n"/>
    </row>
    <row r="67">
      <c r="A67" s="608" t="n"/>
      <c r="B67" s="608" t="n"/>
      <c r="C67" s="608" t="n"/>
      <c r="D67" s="608" t="n"/>
      <c r="E67" s="608" t="n"/>
      <c r="F67" s="608" t="n"/>
      <c r="G67" s="608" t="n"/>
      <c r="H67" s="608" t="n"/>
      <c r="I67" s="608" t="n"/>
      <c r="J67" s="608" t="n"/>
      <c r="K67" s="608" t="n"/>
      <c r="L67" s="608" t="n"/>
      <c r="M67" s="608" t="n"/>
      <c r="N67" s="608" t="n"/>
      <c r="O67" s="608" t="n"/>
      <c r="P67" s="608" t="n"/>
      <c r="Q67" s="608" t="n"/>
      <c r="R67" s="608" t="n"/>
      <c r="S67" s="608" t="n"/>
      <c r="T67" s="608" t="n"/>
      <c r="U67" s="608" t="n"/>
      <c r="V67" s="608" t="n"/>
      <c r="W67" s="608" t="n"/>
      <c r="X67" s="608" t="n"/>
      <c r="Y67" s="608" t="n"/>
      <c r="Z67" s="608" t="n"/>
      <c r="AA67" s="608" t="n"/>
      <c r="AB67" s="608" t="n"/>
      <c r="AC67" s="608" t="n"/>
      <c r="AD67" s="608" t="n"/>
      <c r="AE67" s="608" t="n"/>
      <c r="AF67" s="608" t="n"/>
      <c r="AG67" s="608" t="n"/>
      <c r="AH67" s="608" t="n"/>
      <c r="AI67" s="608" t="n"/>
      <c r="AJ67" s="608" t="n"/>
      <c r="AK67" s="608" t="n"/>
      <c r="AL67" s="608" t="n"/>
      <c r="AM67" s="608" t="n"/>
    </row>
    <row r="68">
      <c r="A68" s="608" t="n"/>
      <c r="B68" s="608" t="n"/>
      <c r="C68" s="608" t="n"/>
      <c r="D68" s="608" t="n"/>
      <c r="E68" s="608" t="n"/>
      <c r="F68" s="608" t="n"/>
      <c r="G68" s="608" t="n"/>
      <c r="H68" s="608" t="n"/>
      <c r="I68" s="608" t="n"/>
      <c r="J68" s="608" t="n"/>
      <c r="K68" s="608" t="n"/>
      <c r="L68" s="608" t="n"/>
      <c r="M68" s="608" t="n"/>
      <c r="N68" s="608" t="n"/>
      <c r="O68" s="608" t="n"/>
      <c r="P68" s="608" t="n"/>
      <c r="Q68" s="608" t="n"/>
      <c r="R68" s="608" t="n"/>
      <c r="S68" s="608" t="n"/>
      <c r="T68" s="608" t="n"/>
      <c r="U68" s="608" t="n"/>
      <c r="V68" s="608" t="n"/>
      <c r="W68" s="608" t="n"/>
      <c r="X68" s="608" t="n"/>
      <c r="Y68" s="608" t="n"/>
      <c r="Z68" s="608" t="n"/>
      <c r="AA68" s="608" t="n"/>
      <c r="AB68" s="608" t="n"/>
      <c r="AC68" s="608" t="n"/>
      <c r="AD68" s="608" t="n"/>
      <c r="AE68" s="608" t="n"/>
      <c r="AF68" s="608" t="n"/>
      <c r="AG68" s="608" t="n"/>
      <c r="AH68" s="608" t="n"/>
      <c r="AI68" s="608" t="n"/>
      <c r="AJ68" s="608" t="n"/>
      <c r="AK68" s="608" t="n"/>
      <c r="AL68" s="608" t="n"/>
      <c r="AM68" s="608" t="n"/>
    </row>
    <row r="69">
      <c r="A69" s="608" t="n"/>
      <c r="B69" s="608" t="n"/>
      <c r="C69" s="608" t="n"/>
      <c r="D69" s="608" t="n"/>
      <c r="E69" s="608" t="n"/>
      <c r="F69" s="608" t="n"/>
      <c r="G69" s="608" t="n"/>
      <c r="H69" s="608" t="n"/>
      <c r="I69" s="608" t="n"/>
      <c r="J69" s="608" t="n"/>
      <c r="K69" s="608" t="n"/>
      <c r="L69" s="608" t="n"/>
      <c r="M69" s="608" t="n"/>
      <c r="N69" s="608" t="n"/>
      <c r="O69" s="608" t="n"/>
      <c r="P69" s="608" t="n"/>
      <c r="Q69" s="608" t="n"/>
      <c r="R69" s="608" t="n"/>
      <c r="S69" s="608" t="n"/>
      <c r="T69" s="608" t="n"/>
      <c r="U69" s="608" t="n"/>
      <c r="V69" s="608" t="n"/>
      <c r="W69" s="608" t="n"/>
      <c r="X69" s="608" t="n"/>
      <c r="Y69" s="608" t="n"/>
      <c r="Z69" s="608" t="n"/>
      <c r="AA69" s="608" t="n"/>
      <c r="AB69" s="608" t="n"/>
      <c r="AC69" s="608" t="n"/>
      <c r="AD69" s="608" t="n"/>
      <c r="AE69" s="608" t="n"/>
      <c r="AF69" s="608" t="n"/>
      <c r="AG69" s="608" t="n"/>
      <c r="AH69" s="608" t="n"/>
      <c r="AI69" s="608" t="n"/>
      <c r="AJ69" s="608" t="n"/>
      <c r="AK69" s="608" t="n"/>
      <c r="AL69" s="608" t="n"/>
      <c r="AM69" s="608" t="n"/>
    </row>
    <row r="70">
      <c r="A70" s="608" t="n"/>
      <c r="B70" s="608" t="n"/>
      <c r="C70" s="608" t="n"/>
      <c r="D70" s="608" t="n"/>
      <c r="E70" s="608" t="n"/>
      <c r="F70" s="608" t="n"/>
      <c r="G70" s="608" t="n"/>
      <c r="H70" s="608" t="n"/>
      <c r="I70" s="608" t="n"/>
      <c r="J70" s="608" t="n"/>
      <c r="K70" s="608" t="n"/>
      <c r="L70" s="608" t="n"/>
      <c r="M70" s="608" t="n"/>
      <c r="N70" s="608" t="n"/>
      <c r="O70" s="608" t="n"/>
      <c r="P70" s="608" t="n"/>
      <c r="Q70" s="608" t="n"/>
      <c r="R70" s="608" t="n"/>
      <c r="S70" s="608" t="n"/>
      <c r="T70" s="608" t="n"/>
      <c r="U70" s="608" t="n"/>
      <c r="V70" s="608" t="n"/>
      <c r="W70" s="608" t="n"/>
      <c r="X70" s="608" t="n"/>
      <c r="Y70" s="608" t="n"/>
      <c r="Z70" s="608" t="n"/>
      <c r="AA70" s="608" t="n"/>
      <c r="AB70" s="608" t="n"/>
      <c r="AC70" s="608" t="n"/>
      <c r="AD70" s="608" t="n"/>
      <c r="AE70" s="608" t="n"/>
      <c r="AF70" s="608" t="n"/>
      <c r="AG70" s="608" t="n"/>
      <c r="AH70" s="608" t="n"/>
      <c r="AI70" s="608" t="n"/>
      <c r="AJ70" s="608" t="n"/>
      <c r="AK70" s="608" t="n"/>
      <c r="AL70" s="608" t="n"/>
      <c r="AM70" s="608" t="n"/>
    </row>
    <row r="71">
      <c r="A71" s="608" t="n"/>
      <c r="B71" s="608" t="n"/>
      <c r="C71" s="608" t="n"/>
      <c r="D71" s="608" t="n"/>
      <c r="E71" s="608" t="n"/>
      <c r="F71" s="608" t="n"/>
      <c r="G71" s="608" t="n"/>
      <c r="H71" s="608" t="n"/>
      <c r="I71" s="608" t="n"/>
      <c r="J71" s="608" t="n"/>
      <c r="K71" s="608" t="n"/>
      <c r="L71" s="608" t="n"/>
      <c r="M71" s="608" t="n"/>
      <c r="N71" s="608" t="n"/>
      <c r="O71" s="608" t="n"/>
      <c r="P71" s="608" t="n"/>
      <c r="Q71" s="608" t="n"/>
      <c r="R71" s="608" t="n"/>
      <c r="S71" s="608" t="n"/>
      <c r="T71" s="608" t="n"/>
      <c r="U71" s="608" t="n"/>
      <c r="V71" s="608" t="n"/>
      <c r="W71" s="608" t="n"/>
      <c r="X71" s="608" t="n"/>
      <c r="Y71" s="608" t="n"/>
      <c r="Z71" s="608" t="n"/>
      <c r="AA71" s="608" t="n"/>
      <c r="AB71" s="608" t="n"/>
      <c r="AC71" s="608" t="n"/>
      <c r="AD71" s="608" t="n"/>
      <c r="AE71" s="608" t="n"/>
      <c r="AF71" s="608" t="n"/>
      <c r="AG71" s="608" t="n"/>
      <c r="AH71" s="608" t="n"/>
      <c r="AI71" s="608" t="n"/>
      <c r="AJ71" s="608" t="n"/>
      <c r="AK71" s="608" t="n"/>
      <c r="AL71" s="608" t="n"/>
      <c r="AM71" s="608" t="n"/>
    </row>
    <row r="72">
      <c r="A72" s="608" t="n"/>
      <c r="B72" s="608" t="n"/>
      <c r="C72" s="608" t="n"/>
      <c r="D72" s="608" t="n"/>
      <c r="E72" s="608" t="n"/>
      <c r="F72" s="608" t="n"/>
      <c r="G72" s="608" t="n"/>
      <c r="H72" s="608" t="n"/>
      <c r="I72" s="608" t="n"/>
      <c r="J72" s="608" t="n"/>
      <c r="K72" s="608" t="n"/>
      <c r="L72" s="608" t="n"/>
      <c r="M72" s="608" t="n"/>
      <c r="N72" s="608" t="n"/>
      <c r="O72" s="608" t="n"/>
      <c r="P72" s="608" t="n"/>
      <c r="Q72" s="608" t="n"/>
      <c r="R72" s="608" t="n"/>
      <c r="S72" s="608" t="n"/>
      <c r="T72" s="608" t="n"/>
      <c r="U72" s="608" t="n"/>
      <c r="V72" s="608" t="n"/>
      <c r="W72" s="608" t="n"/>
      <c r="X72" s="608" t="n"/>
      <c r="Y72" s="608" t="n"/>
      <c r="Z72" s="608" t="n"/>
      <c r="AA72" s="608" t="n"/>
      <c r="AB72" s="608" t="n"/>
      <c r="AC72" s="608" t="n"/>
      <c r="AD72" s="608" t="n"/>
      <c r="AE72" s="608" t="n"/>
      <c r="AF72" s="608" t="n"/>
      <c r="AG72" s="608" t="n"/>
      <c r="AH72" s="608" t="n"/>
      <c r="AI72" s="608" t="n"/>
      <c r="AJ72" s="608" t="n"/>
      <c r="AK72" s="608" t="n"/>
      <c r="AL72" s="608" t="n"/>
      <c r="AM72" s="608" t="n"/>
    </row>
  </sheetData>
  <mergeCells count="55">
    <mergeCell ref="D2:F2"/>
    <mergeCell ref="G1:G3"/>
    <mergeCell ref="I1:N2"/>
    <mergeCell ref="I19:N20"/>
    <mergeCell ref="I8:L8"/>
    <mergeCell ref="E13:G13"/>
    <mergeCell ref="A15:H15"/>
    <mergeCell ref="J3:M3"/>
    <mergeCell ref="K5:L5"/>
    <mergeCell ref="M9:N9"/>
    <mergeCell ref="B13:D13"/>
    <mergeCell ref="M5:N5"/>
    <mergeCell ref="B10:G12"/>
    <mergeCell ref="I12:N12"/>
    <mergeCell ref="A21:B26"/>
    <mergeCell ref="I15:N16"/>
    <mergeCell ref="A4:A6"/>
    <mergeCell ref="C21:D26"/>
    <mergeCell ref="I9:L9"/>
    <mergeCell ref="A10:A12"/>
    <mergeCell ref="I14:N14"/>
    <mergeCell ref="A16:H16"/>
    <mergeCell ref="A19:B20"/>
    <mergeCell ref="C19:D20"/>
    <mergeCell ref="D3:F3"/>
    <mergeCell ref="H1:H2"/>
    <mergeCell ref="M7:N7"/>
    <mergeCell ref="D7:E7"/>
    <mergeCell ref="I10:N10"/>
    <mergeCell ref="M6:N6"/>
    <mergeCell ref="I13:N13"/>
    <mergeCell ref="H5:J5"/>
    <mergeCell ref="K6:L6"/>
    <mergeCell ref="A14:H14"/>
    <mergeCell ref="I7:L7"/>
    <mergeCell ref="A17:B17"/>
    <mergeCell ref="D9:E9"/>
    <mergeCell ref="D1:F1"/>
    <mergeCell ref="M8:N8"/>
    <mergeCell ref="E21:F26"/>
    <mergeCell ref="H3:I3"/>
    <mergeCell ref="D8:E8"/>
    <mergeCell ref="G21:H26"/>
    <mergeCell ref="C17:M17"/>
    <mergeCell ref="A7:A9"/>
    <mergeCell ref="I11:N11"/>
    <mergeCell ref="A1:C3"/>
    <mergeCell ref="H4:J4"/>
    <mergeCell ref="E19:F20"/>
    <mergeCell ref="G19:H20"/>
    <mergeCell ref="C18:M18"/>
    <mergeCell ref="K4:L4"/>
    <mergeCell ref="M4:N4"/>
    <mergeCell ref="I21:N26"/>
    <mergeCell ref="H6:J6"/>
  </mergeCells>
  <dataValidations count="1">
    <dataValidation sqref="B5:B6 B8:B9 G8:G9" showDropDown="0" showInputMessage="1" showErrorMessage="1" allowBlank="1" type="list">
      <formula1>姓名</formula1>
    </dataValidation>
  </dataValidations>
  <pageMargins left="0.7" right="0.7" top="0.75" bottom="0.75" header="0.3" footer="0.3"/>
  <pageSetup orientation="portrait" paperSize="9"/>
</worksheet>
</file>

<file path=xl/worksheets/sheet31.xml><?xml version="1.0" encoding="utf-8"?>
<worksheet xmlns="http://schemas.openxmlformats.org/spreadsheetml/2006/main">
  <sheetPr codeName="工作表20">
    <tabColor theme="9" tint="0.5999938962981048"/>
    <outlinePr summaryBelow="1" summaryRight="1"/>
    <pageSetUpPr/>
  </sheetPr>
  <dimension ref="A1:G18"/>
  <sheetViews>
    <sheetView showGridLines="0" view="pageBreakPreview" zoomScale="130" zoomScaleNormal="100" zoomScaleSheetLayoutView="130" workbookViewId="0">
      <selection activeCell="I7" sqref="I7"/>
    </sheetView>
  </sheetViews>
  <sheetFormatPr baseColWidth="8" defaultRowHeight="16.5"/>
  <cols>
    <col width="12.375" customWidth="1" style="683" min="1" max="7"/>
  </cols>
  <sheetData>
    <row r="1" ht="67.5" customHeight="1" s="683">
      <c r="A1" s="964" t="inlineStr">
        <is>
          <t>捨棄聲明異議書</t>
        </is>
      </c>
    </row>
    <row r="2" ht="12" customHeight="1" s="683">
      <c r="A2" s="154" t="n"/>
    </row>
    <row r="3" ht="40.5" customHeight="1" s="683">
      <c r="A3" s="966">
        <f>CONCATENATE("行為人 ",word用!$H$2," 因涉嫌加暴行於他人案件,經",輸入!$R$13,輸入!$S$13,輸入!$R$14,輸入!$S$14,"以違反「違反社會秩序維護法」第87條第1項第1款之規定,於",LEFT(下拉用!$J$5,10),"查獲並處分在案,本人同意捨棄聲明異議。")</f>
        <v/>
      </c>
    </row>
    <row r="4" ht="40.5" customHeight="1" s="683"/>
    <row r="5" ht="40.5" customHeight="1" s="683"/>
    <row r="6" ht="40.5" customHeight="1" s="683"/>
    <row r="7" ht="40.5" customHeight="1" s="683"/>
    <row r="8" ht="40.5" customHeight="1" s="683"/>
    <row r="9" ht="40.5" customHeight="1" s="683">
      <c r="A9" s="966" t="n"/>
      <c r="B9" s="966" t="n"/>
      <c r="C9" s="966" t="n"/>
      <c r="D9" s="966" t="n"/>
      <c r="E9" s="966" t="n"/>
      <c r="F9" s="966" t="n"/>
      <c r="G9" s="966" t="n"/>
    </row>
    <row r="10" ht="54" customFormat="1" customHeight="1" s="963">
      <c r="A10" s="153" t="inlineStr">
        <is>
          <t>捨棄聲明異議人：</t>
        </is>
      </c>
    </row>
    <row r="11" ht="54" customFormat="1" customHeight="1" s="963">
      <c r="A11" s="962" t="n"/>
    </row>
    <row r="12" ht="40.5" customFormat="1" customHeight="1" s="963">
      <c r="A12" s="967" t="n"/>
    </row>
    <row r="13" ht="45" customFormat="1" customHeight="1" s="963">
      <c r="A13" s="962" t="inlineStr">
        <is>
          <t>戶籍地：</t>
        </is>
      </c>
    </row>
    <row r="14" ht="45" customFormat="1" customHeight="1" s="963">
      <c r="A14" s="962" t="inlineStr">
        <is>
          <t>住  址：</t>
        </is>
      </c>
    </row>
    <row r="15" ht="45" customFormat="1" customHeight="1" s="963">
      <c r="A15" s="962" t="inlineStr">
        <is>
          <t>電  話：</t>
        </is>
      </c>
    </row>
    <row r="16" ht="45" customFormat="1" customHeight="1" s="963"/>
    <row r="17" ht="40.5" customFormat="1" customHeight="1" s="963">
      <c r="A17" s="962" t="n"/>
      <c r="B17" s="962" t="n"/>
      <c r="C17" s="962" t="n"/>
      <c r="D17" s="962" t="n"/>
      <c r="E17" s="962" t="n"/>
      <c r="F17" s="962" t="n"/>
      <c r="G17" s="962" t="n"/>
    </row>
    <row r="18" ht="40.5" customFormat="1" customHeight="1" s="963">
      <c r="A18" s="965">
        <f>CONCATENATE("中　華　民　國",LEFT(下拉用!$J$5,10))</f>
        <v/>
      </c>
    </row>
  </sheetData>
  <mergeCells count="8">
    <mergeCell ref="A13:G13"/>
    <mergeCell ref="A14:G14"/>
    <mergeCell ref="A1:G1"/>
    <mergeCell ref="A18:G18"/>
    <mergeCell ref="A3:G8"/>
    <mergeCell ref="A12:G12"/>
    <mergeCell ref="A15:G15"/>
    <mergeCell ref="A11:G11"/>
  </mergeCells>
  <pageMargins left="0.7" right="0.7" top="0.75" bottom="0.75" header="0.3" footer="0.3"/>
  <pageSetup orientation="portrait" paperSize="9"/>
</worksheet>
</file>

<file path=xl/worksheets/sheet32.xml><?xml version="1.0" encoding="utf-8"?>
<worksheet xmlns="http://schemas.openxmlformats.org/spreadsheetml/2006/main">
  <sheetPr codeName="工作表21">
    <tabColor theme="9" tint="0.5999938962981048"/>
    <outlinePr summaryBelow="1" summaryRight="1"/>
    <pageSetUpPr/>
  </sheetPr>
  <dimension ref="A1:G18"/>
  <sheetViews>
    <sheetView showGridLines="0" view="pageBreakPreview" zoomScale="130" zoomScaleNormal="100" zoomScaleSheetLayoutView="130" workbookViewId="0">
      <selection activeCell="A19" sqref="A19"/>
    </sheetView>
  </sheetViews>
  <sheetFormatPr baseColWidth="8" defaultRowHeight="16.5"/>
  <cols>
    <col width="12.375" customWidth="1" style="683" min="1" max="7"/>
  </cols>
  <sheetData>
    <row r="1" ht="67.5" customHeight="1" s="683">
      <c r="A1" s="964" t="inlineStr">
        <is>
          <t>捨棄抗告聲請狀</t>
        </is>
      </c>
    </row>
    <row r="2" ht="12" customHeight="1" s="683">
      <c r="A2" s="154" t="n"/>
    </row>
    <row r="3" ht="40.5" customHeight="1" s="683">
      <c r="A3" s="966">
        <f>CONCATENATE("聲請人",word用!$H$2,"於",下拉用!$J$5,"在",輸入!$C$7,"涉嫌違反社會秩序維護法之相關規定，經",輸入!$S$18,輸入!$T$18,輸入!$S$19,輸入!$T$19,"訊問後移送臺灣臺北地方法院臺北簡易庭裁定，對於此案件臺灣臺北地方法院臺北簡易庭所為之裁定，聲請人捨棄抗告權。")</f>
        <v/>
      </c>
    </row>
    <row r="4" ht="40.5" customHeight="1" s="683"/>
    <row r="5" ht="40.5" customHeight="1" s="683"/>
    <row r="6" ht="40.5" customHeight="1" s="683"/>
    <row r="7" ht="40.5" customHeight="1" s="683"/>
    <row r="8" ht="40.5" customHeight="1" s="683"/>
    <row r="9" ht="40.5" customHeight="1" s="683">
      <c r="A9" s="966" t="n"/>
      <c r="B9" s="966" t="n"/>
      <c r="C9" s="966" t="n"/>
      <c r="D9" s="966" t="n"/>
      <c r="E9" s="966" t="n"/>
      <c r="F9" s="966" t="n"/>
      <c r="G9" s="966" t="n"/>
    </row>
    <row r="10" ht="54" customFormat="1" customHeight="1" s="963">
      <c r="A10" s="153" t="inlineStr">
        <is>
          <t xml:space="preserve">此致 </t>
        </is>
      </c>
    </row>
    <row r="11" ht="54" customFormat="1" customHeight="1" s="963">
      <c r="A11" s="962" t="inlineStr">
        <is>
          <t>臺灣臺北地方法院臺北簡易庭 公鑒</t>
        </is>
      </c>
    </row>
    <row r="12" ht="40.5" customFormat="1" customHeight="1" s="963">
      <c r="A12" s="967" t="n"/>
    </row>
    <row r="13" ht="45" customFormat="1" customHeight="1" s="963">
      <c r="A13" s="962" t="inlineStr">
        <is>
          <t>具狀人：</t>
        </is>
      </c>
    </row>
    <row r="14" ht="45" customFormat="1" customHeight="1" s="963">
      <c r="A14" s="962" t="inlineStr">
        <is>
          <t>身分證字號：</t>
        </is>
      </c>
    </row>
    <row r="15" ht="45" customFormat="1" customHeight="1" s="963">
      <c r="A15" s="962" t="inlineStr">
        <is>
          <t>住  址：</t>
        </is>
      </c>
    </row>
    <row r="16" ht="45" customFormat="1" customHeight="1" s="963">
      <c r="A16" s="962" t="inlineStr">
        <is>
          <t>電  話：</t>
        </is>
      </c>
    </row>
    <row r="17" ht="40.5" customFormat="1" customHeight="1" s="963">
      <c r="A17" s="962" t="n"/>
      <c r="B17" s="962" t="n"/>
      <c r="C17" s="962" t="n"/>
      <c r="D17" s="962" t="n"/>
      <c r="E17" s="962" t="n"/>
      <c r="F17" s="962" t="n"/>
      <c r="G17" s="962" t="n"/>
    </row>
    <row r="18" ht="40.5" customFormat="1" customHeight="1" s="963">
      <c r="A18" s="965">
        <f>CONCATENATE("中　華　民　國",LEFT(下拉用!$J$5,10))</f>
        <v/>
      </c>
    </row>
  </sheetData>
  <mergeCells count="9">
    <mergeCell ref="A13:G13"/>
    <mergeCell ref="A14:G14"/>
    <mergeCell ref="A1:G1"/>
    <mergeCell ref="A18:G18"/>
    <mergeCell ref="A3:G8"/>
    <mergeCell ref="A12:G12"/>
    <mergeCell ref="A16:G16"/>
    <mergeCell ref="A15:G15"/>
    <mergeCell ref="A11:G11"/>
  </mergeCells>
  <pageMargins left="0.7" right="0.7" top="0.75" bottom="0.75" header="0.3" footer="0.3"/>
  <pageSetup orientation="portrait" paperSize="9"/>
</worksheet>
</file>

<file path=xl/worksheets/sheet33.xml><?xml version="1.0" encoding="utf-8"?>
<worksheet xmlns="http://schemas.openxmlformats.org/spreadsheetml/2006/main">
  <sheetPr codeName="工作表22">
    <tabColor theme="9" tint="0.5999938962981048"/>
    <outlinePr summaryBelow="1" summaryRight="1"/>
    <pageSetUpPr/>
  </sheetPr>
  <dimension ref="A1:G31"/>
  <sheetViews>
    <sheetView view="pageBreakPreview" zoomScale="85" zoomScaleNormal="100" zoomScaleSheetLayoutView="85" workbookViewId="0">
      <selection activeCell="G4" sqref="G4"/>
    </sheetView>
  </sheetViews>
  <sheetFormatPr baseColWidth="8" defaultRowHeight="16.5"/>
  <cols>
    <col width="5" customWidth="1" style="683" min="1" max="1"/>
    <col width="8.875" customWidth="1" style="683" min="2" max="2"/>
    <col width="16.5" customWidth="1" style="683" min="3" max="3"/>
    <col width="15.125" customWidth="1" style="683" min="4" max="5"/>
    <col width="15" customWidth="1" style="683" min="6" max="7"/>
  </cols>
  <sheetData>
    <row r="1" ht="27.75" customHeight="1" s="683">
      <c r="A1" s="980">
        <f>CONCATENATE(輸入!$S$18,輸入!$T$18,輸入!$S$19,輸入!$T$19,"送達證書")</f>
        <v/>
      </c>
    </row>
    <row r="2" ht="20.25" customHeight="1" s="683">
      <c r="A2" s="674" t="n"/>
    </row>
    <row r="3" ht="22.5" customHeight="1" s="683">
      <c r="A3" s="581" t="inlineStr">
        <is>
          <t>應  受
送達人
姓　名
地　址</t>
        </is>
      </c>
      <c r="B3" s="583" t="n"/>
      <c r="C3" s="990" t="inlineStr">
        <is>
          <t xml:space="preserve">受處分人 </t>
        </is>
      </c>
      <c r="D3" s="582" t="n"/>
      <c r="E3" s="582" t="n"/>
      <c r="F3" s="582" t="n"/>
      <c r="G3" s="583" t="n"/>
    </row>
    <row r="4" ht="22.5" customHeight="1" s="683">
      <c r="A4" s="607" t="n"/>
      <c r="B4" s="609" t="n"/>
      <c r="C4" s="971">
        <f>word用!$H$2</f>
        <v/>
      </c>
      <c r="G4" s="1204">
        <f>IF(word用!$R$2="男","先生"," ")</f>
        <v/>
      </c>
    </row>
    <row r="5" ht="22.5" customHeight="1" s="683">
      <c r="A5" s="607" t="n"/>
      <c r="B5" s="609" t="n"/>
      <c r="C5" s="607" t="n"/>
      <c r="G5" s="1204">
        <f>IF(word用!$R$2="女","女士"," ")</f>
        <v/>
      </c>
    </row>
    <row r="6" ht="22.5" customHeight="1" s="683">
      <c r="A6" s="584" t="n"/>
      <c r="B6" s="586" t="n"/>
      <c r="C6" s="969">
        <f>CONCATENATE("住：",word用!$N$2,"")</f>
        <v/>
      </c>
      <c r="D6" s="585" t="n"/>
      <c r="E6" s="585" t="n"/>
      <c r="F6" s="585" t="n"/>
      <c r="G6" s="586" t="n"/>
    </row>
    <row r="7" ht="22.5" customHeight="1" s="683">
      <c r="A7" s="581" t="inlineStr">
        <is>
          <t>案  號
案  由</t>
        </is>
      </c>
      <c r="B7" s="583" t="n"/>
      <c r="C7" s="987">
        <f>CONCATENATE(,LEFT(下拉用!$J$10,10),"違反社會秩序維護法案件處分書（收據）")</f>
        <v/>
      </c>
      <c r="D7" s="582" t="n"/>
      <c r="E7" s="582" t="n"/>
      <c r="F7" s="582" t="n"/>
      <c r="G7" s="583" t="n"/>
    </row>
    <row r="8" ht="22.5" customHeight="1" s="683">
      <c r="A8" s="584" t="n"/>
      <c r="B8" s="586" t="n"/>
      <c r="C8" s="969" t="inlineStr">
        <is>
          <t>違反社會秩序維護法</t>
        </is>
      </c>
      <c r="D8" s="585" t="n"/>
      <c r="E8" s="585" t="n"/>
      <c r="F8" s="585" t="n"/>
      <c r="G8" s="586" t="n"/>
    </row>
    <row r="9" ht="22.5" customHeight="1" s="683">
      <c r="A9" s="581" t="inlineStr">
        <is>
          <t>送  達
文  書</t>
        </is>
      </c>
      <c r="B9" s="583" t="n"/>
      <c r="C9" s="982" t="inlineStr">
        <is>
          <t>處分書（收據）正本1件。</t>
        </is>
      </c>
      <c r="D9" s="582" t="n"/>
      <c r="E9" s="582" t="n"/>
      <c r="F9" s="582" t="n"/>
      <c r="G9" s="583" t="n"/>
    </row>
    <row r="10" ht="22.5" customHeight="1" s="683">
      <c r="A10" s="584" t="n"/>
      <c r="B10" s="586" t="n"/>
      <c r="C10" s="584" t="n"/>
      <c r="D10" s="585" t="n"/>
      <c r="E10" s="585" t="n"/>
      <c r="F10" s="585" t="n"/>
      <c r="G10" s="586" t="n"/>
    </row>
    <row r="11" ht="22.5" customHeight="1" s="683">
      <c r="A11" s="581" t="inlineStr">
        <is>
          <t>送達人
注  意</t>
        </is>
      </c>
      <c r="B11" s="583" t="n"/>
      <c r="C11" s="974" t="inlineStr">
        <is>
          <t>一、依下述送達方法送達者，送達人應即將本送達證書，提出於本分局附卷。
二、無法依下述送達方法送達者，送達人應作記載該事由之報告書，提出於本分局附卷，並繳回應送達之文書。</t>
        </is>
      </c>
      <c r="D11" s="582" t="n"/>
      <c r="E11" s="582" t="n"/>
      <c r="F11" s="582" t="n"/>
      <c r="G11" s="583" t="n"/>
    </row>
    <row r="12" ht="22.5" customHeight="1" s="683">
      <c r="A12" s="584" t="n"/>
      <c r="B12" s="586" t="n"/>
      <c r="C12" s="584" t="n"/>
      <c r="D12" s="585" t="n"/>
      <c r="E12" s="585" t="n"/>
      <c r="F12" s="585" t="n"/>
      <c r="G12" s="586" t="n"/>
    </row>
    <row r="13" ht="15.75" customHeight="1" s="683">
      <c r="A13" s="972" t="inlineStr">
        <is>
          <t>送達方法</t>
        </is>
      </c>
      <c r="B13" s="972" t="inlineStr">
        <is>
          <t>（由送達人□上劃ˇ號選記）</t>
        </is>
      </c>
      <c r="C13" s="979" t="inlineStr">
        <is>
          <t>□已將文書付與應受送達人：</t>
        </is>
      </c>
      <c r="D13" s="583" t="n"/>
      <c r="E13" s="970" t="inlineStr">
        <is>
          <t>□本　人</t>
        </is>
      </c>
      <c r="F13" s="151" t="inlineStr">
        <is>
          <t>（簽名蓋章</t>
        </is>
      </c>
      <c r="G13" s="973" t="n"/>
    </row>
    <row r="14" ht="15.75" customHeight="1" s="683">
      <c r="A14" s="945" t="n"/>
      <c r="B14" s="945" t="n"/>
      <c r="C14" s="584" t="n"/>
      <c r="D14" s="586" t="n"/>
      <c r="E14" s="584" t="n"/>
      <c r="F14" s="152" t="inlineStr">
        <is>
          <t xml:space="preserve">　或按指印：）</t>
        </is>
      </c>
      <c r="G14" s="586" t="n"/>
    </row>
    <row r="15" ht="15.75" customHeight="1" s="683">
      <c r="A15" s="945" t="n"/>
      <c r="B15" s="945" t="n"/>
      <c r="C15" s="975" t="inlineStr">
        <is>
          <t>□未獲會晤本人，已將文書交與有辨別事理能力之同居人或受僱人：</t>
        </is>
      </c>
      <c r="D15" s="583" t="n"/>
      <c r="E15" s="456" t="inlineStr">
        <is>
          <t>□同居人</t>
        </is>
      </c>
      <c r="F15" s="151" t="inlineStr">
        <is>
          <t>（簽名蓋章</t>
        </is>
      </c>
      <c r="G15" s="973" t="n"/>
    </row>
    <row r="16" ht="15.75" customHeight="1" s="683">
      <c r="A16" s="945" t="n"/>
      <c r="B16" s="945" t="n"/>
      <c r="C16" s="607" t="n"/>
      <c r="D16" s="609" t="n"/>
      <c r="E16" s="150" t="inlineStr">
        <is>
          <t>□受僱人</t>
        </is>
      </c>
      <c r="F16" s="149" t="inlineStr">
        <is>
          <t xml:space="preserve">　或按指印：）</t>
        </is>
      </c>
      <c r="G16" s="586" t="n"/>
    </row>
    <row r="17" ht="15.75" customHeight="1" s="683">
      <c r="A17" s="945" t="n"/>
      <c r="B17" s="945" t="n"/>
      <c r="C17" s="607" t="n"/>
      <c r="D17" s="609" t="n"/>
      <c r="E17" s="989" t="inlineStr">
        <is>
          <t>□送達人應記明收領人之姓名</t>
        </is>
      </c>
      <c r="F17" s="582" t="n"/>
      <c r="G17" s="583" t="n"/>
    </row>
    <row r="18" ht="15.75" customHeight="1" s="683">
      <c r="A18" s="945" t="n"/>
      <c r="B18" s="945" t="n"/>
      <c r="C18" s="584" t="n"/>
      <c r="D18" s="586" t="n"/>
      <c r="E18" s="984" t="inlineStr">
        <is>
          <t>（以正楷填記）：</t>
        </is>
      </c>
      <c r="F18" s="585" t="n"/>
      <c r="G18" s="586" t="n"/>
    </row>
    <row r="19" ht="57" customHeight="1" s="683">
      <c r="A19" s="945" t="n"/>
      <c r="B19" s="945" t="n"/>
      <c r="C19" s="975" t="inlineStr">
        <is>
          <t>□應受送達之本人、同居人或受僱人，收領後拒絕或不能簽名、蓋章或按指印，由送達人記明其事由於右欄：</t>
        </is>
      </c>
      <c r="D19" s="576" t="n"/>
      <c r="E19" s="968" t="inlineStr">
        <is>
          <t>※送達人填記：</t>
        </is>
      </c>
      <c r="F19" s="585" t="n"/>
      <c r="G19" s="586" t="n"/>
    </row>
    <row r="20" ht="55.5" customHeight="1" s="683">
      <c r="A20" s="945" t="n"/>
      <c r="B20" s="945" t="n"/>
      <c r="C20" s="975" t="inlineStr">
        <is>
          <t>□應受送達之本人、同居人或受僱人，無法律上之理由拒絕收領，經送達人將文書留置於送達處所，以為送達：</t>
        </is>
      </c>
      <c r="D20" s="576" t="n"/>
      <c r="E20" s="976" t="inlineStr">
        <is>
          <t>□本人
□同居人(姓名)
□受僱人(姓名)</t>
        </is>
      </c>
      <c r="F20" s="579" t="n"/>
      <c r="G20" s="148" t="inlineStr">
        <is>
          <t>拒絕收領</t>
        </is>
      </c>
    </row>
    <row r="21" ht="113.25" customHeight="1" s="683">
      <c r="A21" s="588" t="n"/>
      <c r="B21" s="588" t="n"/>
      <c r="C21" s="981" t="inlineStr">
        <is>
          <t>□未獲會晤本人亦無受領文書之同居人或受僱人，已將該送達文書：
□應受送達之本人、同居人或受僱人，無法律上之理由拒絕收領，並有難達留置情事，已將該送達文書：</t>
        </is>
      </c>
      <c r="D21" s="583" t="n"/>
      <c r="E21" s="974" t="inlineStr">
        <is>
          <t>寄存於下列之一處所，並作送達通知書兩份，一份黏貼於應受送達人住居所、事務所、營業所或其就業處所門首，另一份置於該送達處所信箱或其他適當位置，以為送達。（請擇一打ˇ）
□寄存於       派出所或警察所。
□寄存於       鄉（鎮市）區公所。
□寄存於       鄉（鎮市）區      村（里）長辦公處。</t>
        </is>
      </c>
      <c r="F21" s="579" t="n"/>
      <c r="G21" s="576" t="n"/>
    </row>
    <row r="22">
      <c r="A22" s="581" t="inlineStr">
        <is>
          <t>(由郵局收寄人員填寫)</t>
        </is>
      </c>
      <c r="B22" s="579" t="n"/>
      <c r="C22" s="576" t="n"/>
      <c r="D22" s="577" t="inlineStr">
        <is>
          <t>原寄郵局日戳</t>
        </is>
      </c>
      <c r="E22" s="576" t="n"/>
      <c r="F22" s="577" t="inlineStr">
        <is>
          <t>送達郵局日戳</t>
        </is>
      </c>
      <c r="G22" s="576" t="n"/>
    </row>
    <row r="23">
      <c r="A23" s="657" t="inlineStr">
        <is>
          <t>郵件種類：
掛號號碼：</t>
        </is>
      </c>
      <c r="B23" s="582" t="n"/>
      <c r="C23" s="583" t="n"/>
      <c r="D23" s="983" t="inlineStr">
        <is>
          <t xml:space="preserve">
（由司法警察送達時免蓋）</t>
        </is>
      </c>
      <c r="E23" s="583" t="n"/>
      <c r="F23" s="983" t="inlineStr">
        <is>
          <t xml:space="preserve">
（由司法警察送達時免蓋）</t>
        </is>
      </c>
      <c r="G23" s="583" t="n"/>
    </row>
    <row r="24">
      <c r="A24" s="607" t="n"/>
      <c r="C24" s="609" t="n"/>
      <c r="D24" s="607" t="n"/>
      <c r="E24" s="609" t="n"/>
      <c r="F24" s="607" t="n"/>
      <c r="G24" s="609" t="n"/>
    </row>
    <row r="25">
      <c r="A25" s="584" t="n"/>
      <c r="B25" s="585" t="n"/>
      <c r="C25" s="586" t="n"/>
      <c r="D25" s="584" t="n"/>
      <c r="E25" s="586" t="n"/>
      <c r="F25" s="584" t="n"/>
      <c r="G25" s="586" t="n"/>
    </row>
    <row r="26">
      <c r="A26" s="581" t="inlineStr">
        <is>
          <t>送達處所</t>
        </is>
      </c>
      <c r="B26" s="579" t="n"/>
      <c r="C26" s="576" t="n"/>
      <c r="D26" s="577" t="inlineStr">
        <is>
          <t>送達時間</t>
        </is>
      </c>
      <c r="E26" s="576" t="n"/>
      <c r="F26" s="577" t="inlineStr">
        <is>
          <t>送達人簽章</t>
        </is>
      </c>
      <c r="G26" s="576" t="n"/>
    </row>
    <row r="27" ht="28.5" customHeight="1" s="683">
      <c r="A27" s="797" t="inlineStr">
        <is>
          <t>□同上記載地址
□改送：臺北市政府警察局中山分局圓山派出所</t>
        </is>
      </c>
      <c r="B27" s="582" t="n"/>
      <c r="C27" s="583" t="n"/>
      <c r="D27" s="986" t="inlineStr">
        <is>
          <t xml:space="preserve">中華民國     年   月    日
             午   時  </t>
        </is>
      </c>
      <c r="E27" s="582" t="n"/>
      <c r="F27" s="575" t="n"/>
      <c r="G27" s="583" t="n"/>
    </row>
    <row r="28" ht="28.5" customHeight="1" s="683">
      <c r="A28" s="607" t="n"/>
      <c r="C28" s="609" t="n"/>
      <c r="F28" s="607" t="n"/>
      <c r="G28" s="609" t="n"/>
    </row>
    <row r="29" ht="28.5" customHeight="1" s="683">
      <c r="A29" s="978" t="inlineStr">
        <is>
          <t>（送達人務請填記）</t>
        </is>
      </c>
      <c r="B29" s="585" t="n"/>
      <c r="C29" s="586" t="n"/>
      <c r="D29" s="988" t="inlineStr">
        <is>
          <t>（送達人務請填記）</t>
        </is>
      </c>
      <c r="E29" s="585" t="n"/>
      <c r="F29" s="584" t="n"/>
      <c r="G29" s="586" t="n"/>
    </row>
    <row r="30" ht="27.75" customHeight="1" s="683">
      <c r="A30" s="985">
        <f>LEFT(下拉用!$J$10,10)</f>
        <v/>
      </c>
      <c r="F30" s="977" t="inlineStr">
        <is>
          <t>此證書由送達人繳回</t>
        </is>
      </c>
      <c r="G30" s="586" t="n"/>
    </row>
    <row r="31">
      <c r="A31" s="106" t="n"/>
    </row>
  </sheetData>
  <mergeCells count="44">
    <mergeCell ref="A3:B6"/>
    <mergeCell ref="E19:G19"/>
    <mergeCell ref="C6:G6"/>
    <mergeCell ref="E13:E14"/>
    <mergeCell ref="C4:F5"/>
    <mergeCell ref="B13:B21"/>
    <mergeCell ref="G13:G14"/>
    <mergeCell ref="C11:G12"/>
    <mergeCell ref="D22:E22"/>
    <mergeCell ref="A26:C26"/>
    <mergeCell ref="C20:D20"/>
    <mergeCell ref="E20:F20"/>
    <mergeCell ref="F30:G30"/>
    <mergeCell ref="A22:C22"/>
    <mergeCell ref="G15:G16"/>
    <mergeCell ref="A29:C29"/>
    <mergeCell ref="C13:D14"/>
    <mergeCell ref="F26:G26"/>
    <mergeCell ref="A9:B10"/>
    <mergeCell ref="A23:C25"/>
    <mergeCell ref="A13:A21"/>
    <mergeCell ref="A1:G1"/>
    <mergeCell ref="C21:D21"/>
    <mergeCell ref="C9:G10"/>
    <mergeCell ref="A11:B12"/>
    <mergeCell ref="C15:D18"/>
    <mergeCell ref="E18:G18"/>
    <mergeCell ref="F23:G25"/>
    <mergeCell ref="F22:G22"/>
    <mergeCell ref="A30:C30"/>
    <mergeCell ref="E21:G21"/>
    <mergeCell ref="A27:C28"/>
    <mergeCell ref="C8:G8"/>
    <mergeCell ref="D27:E28"/>
    <mergeCell ref="C7:G7"/>
    <mergeCell ref="A7:B8"/>
    <mergeCell ref="D29:E29"/>
    <mergeCell ref="C19:D19"/>
    <mergeCell ref="F27:G29"/>
    <mergeCell ref="E17:G17"/>
    <mergeCell ref="A2:G2"/>
    <mergeCell ref="D23:E25"/>
    <mergeCell ref="D26:E26"/>
    <mergeCell ref="C3:G3"/>
  </mergeCells>
  <pageMargins left="0.4724409448818898" right="0.4724409448818898" top="0.5118110236220472" bottom="0.5118110236220472" header="0.3149606299212598" footer="0.3149606299212598"/>
  <pageSetup orientation="portrait" paperSize="9"/>
</worksheet>
</file>

<file path=xl/worksheets/sheet34.xml><?xml version="1.0" encoding="utf-8"?>
<worksheet xmlns="http://schemas.openxmlformats.org/spreadsheetml/2006/main">
  <sheetPr codeName="工作表23">
    <tabColor theme="9" tint="0.5999938962981048"/>
    <outlinePr summaryBelow="1" summaryRight="1"/>
    <pageSetUpPr/>
  </sheetPr>
  <dimension ref="A1:G21"/>
  <sheetViews>
    <sheetView view="pageBreakPreview" zoomScale="115" zoomScaleNormal="100" zoomScaleSheetLayoutView="115" workbookViewId="0">
      <selection activeCell="A17" sqref="A17:G17"/>
    </sheetView>
  </sheetViews>
  <sheetFormatPr baseColWidth="8" defaultRowHeight="16.5"/>
  <cols>
    <col width="10.375" customWidth="1" style="683" min="1" max="1"/>
    <col width="7.5" customWidth="1" style="683" min="2" max="2"/>
    <col width="9" customWidth="1" style="683" min="3" max="3"/>
    <col width="13.5" customWidth="1" style="683" min="4" max="5"/>
    <col width="14" customWidth="1" style="683" min="6" max="6"/>
    <col width="18.875" customWidth="1" style="683" min="7" max="7"/>
  </cols>
  <sheetData>
    <row r="1" ht="27.75" customHeight="1" s="683">
      <c r="A1" s="997">
        <f>CONCATENATE(輸入!$S$18,輸入!$T$18,輸入!$S$19,輸入!$T$19,"送達證書")</f>
        <v/>
      </c>
      <c r="B1" s="579" t="n"/>
      <c r="C1" s="579" t="n"/>
      <c r="D1" s="579" t="n"/>
      <c r="E1" s="579" t="n"/>
      <c r="F1" s="579" t="n"/>
      <c r="G1" s="576" t="n"/>
    </row>
    <row r="2" ht="36.75" customHeight="1" s="683">
      <c r="A2" s="992" t="inlineStr">
        <is>
          <t>案由</t>
        </is>
      </c>
      <c r="B2" s="576" t="n"/>
      <c r="C2" s="991" t="inlineStr">
        <is>
          <t>違反社會秩序維護法</t>
        </is>
      </c>
      <c r="D2" s="579" t="n"/>
      <c r="E2" s="579" t="n"/>
      <c r="F2" s="579" t="n"/>
      <c r="G2" s="576" t="n"/>
    </row>
    <row r="3" ht="36.75" customHeight="1" s="683">
      <c r="A3" s="992" t="inlineStr">
        <is>
          <t>應送達之文書</t>
        </is>
      </c>
      <c r="B3" s="576" t="n"/>
      <c r="C3" s="1000" t="inlineStr">
        <is>
          <t>違反社會秩序維護法處分書</t>
        </is>
      </c>
      <c r="D3" s="582" t="n"/>
      <c r="E3" s="582" t="n"/>
      <c r="F3" s="582" t="n"/>
      <c r="G3" s="583" t="n"/>
    </row>
    <row r="4" ht="18.75" customHeight="1" s="683">
      <c r="A4" s="992" t="inlineStr">
        <is>
          <t>應受送達人</t>
        </is>
      </c>
      <c r="B4" s="583" t="n"/>
      <c r="C4" s="997">
        <f>word用!$H$2</f>
        <v/>
      </c>
      <c r="D4" s="583" t="n"/>
      <c r="E4" s="999">
        <f>IF(word用!$R$2="男","先生"," ")</f>
        <v/>
      </c>
      <c r="F4" s="582" t="n"/>
      <c r="G4" s="583" t="n"/>
    </row>
    <row r="5" ht="18.75" customHeight="1" s="683">
      <c r="A5" s="584" t="n"/>
      <c r="B5" s="586" t="n"/>
      <c r="C5" s="584" t="n"/>
      <c r="D5" s="586" t="n"/>
      <c r="E5" s="998">
        <f>IF(word用!$R$2="女","女士"," ")</f>
        <v/>
      </c>
      <c r="F5" s="585" t="n"/>
      <c r="G5" s="586" t="n"/>
    </row>
    <row r="6" ht="41.25" customHeight="1" s="683">
      <c r="A6" s="664" t="inlineStr">
        <is>
          <t>一</t>
        </is>
      </c>
      <c r="B6" s="996" t="n"/>
      <c r="C6" s="994" t="inlineStr">
        <is>
          <t>已將文書交與應受送達人本人。</t>
        </is>
      </c>
      <c r="D6" s="585" t="n"/>
      <c r="E6" s="585" t="n"/>
      <c r="F6" s="585" t="n"/>
      <c r="G6" s="586" t="n"/>
    </row>
    <row r="7" ht="22.5" customHeight="1" s="683">
      <c r="A7" s="664" t="inlineStr">
        <is>
          <t>二</t>
        </is>
      </c>
      <c r="B7" s="996" t="n"/>
      <c r="C7" s="995" t="inlineStr">
        <is>
          <t>未會晤本人，已將文書交予下列有辨別事理能力之人。</t>
        </is>
      </c>
      <c r="D7" s="579" t="n"/>
      <c r="E7" s="579" t="n"/>
      <c r="F7" s="579" t="n"/>
      <c r="G7" s="576" t="n"/>
    </row>
    <row r="8" ht="45" customHeight="1" s="683">
      <c r="A8" s="945" t="n"/>
      <c r="B8" s="945" t="n"/>
      <c r="C8" s="995" t="inlineStr">
        <is>
          <t>同居人</t>
        </is>
      </c>
      <c r="D8" s="996" t="n"/>
      <c r="E8" s="576" t="n"/>
      <c r="F8" s="995" t="inlineStr">
        <is>
          <t>與本人關係</t>
        </is>
      </c>
      <c r="G8" s="996" t="n"/>
    </row>
    <row r="9" ht="45" customHeight="1" s="683">
      <c r="A9" s="588" t="n"/>
      <c r="B9" s="588" t="n"/>
      <c r="C9" s="995" t="inlineStr">
        <is>
          <t>受僱人</t>
        </is>
      </c>
      <c r="D9" s="996" t="n"/>
      <c r="E9" s="576" t="n"/>
      <c r="F9" s="995" t="inlineStr">
        <is>
          <t>與本人關係</t>
        </is>
      </c>
      <c r="G9" s="996" t="n"/>
    </row>
    <row r="10" ht="93.75" customHeight="1" s="683">
      <c r="A10" s="664" t="inlineStr">
        <is>
          <t>三</t>
        </is>
      </c>
      <c r="B10" s="996" t="n"/>
      <c r="C10" s="995" t="inlineStr">
        <is>
          <t>未會晤本人亦無收領文書之同居人、受僱人，已將文書寄存於　　　　　　　　　　　　　，並作送達通知書兩份，一份粘貼於應受送達人住居所、事務所、營業所或其就業處所門首，另一份置於該送達處所信箱或其他位置。</t>
        </is>
      </c>
      <c r="D10" s="579" t="n"/>
      <c r="E10" s="579" t="n"/>
      <c r="F10" s="579" t="n"/>
      <c r="G10" s="576" t="n"/>
    </row>
    <row r="11" ht="26.25" customHeight="1" s="683">
      <c r="A11" s="664" t="inlineStr">
        <is>
          <t>四</t>
        </is>
      </c>
      <c r="B11" s="996" t="n"/>
      <c r="C11" s="659" t="inlineStr">
        <is>
          <t>□本人　　　　　□同居人　　　　　□受僱人</t>
        </is>
      </c>
      <c r="D11" s="579" t="n"/>
      <c r="E11" s="579" t="n"/>
      <c r="F11" s="579" t="n"/>
      <c r="G11" s="576" t="n"/>
    </row>
    <row r="12" ht="24" customHeight="1" s="683">
      <c r="A12" s="588" t="n"/>
      <c r="B12" s="588" t="n"/>
      <c r="C12" s="995" t="inlineStr">
        <is>
          <t>無正當理由拒絕收領，已將文書留置於該處。</t>
        </is>
      </c>
      <c r="D12" s="579" t="n"/>
      <c r="E12" s="579" t="n"/>
      <c r="F12" s="579" t="n"/>
      <c r="G12" s="576" t="n"/>
    </row>
    <row r="13" ht="46.5" customHeight="1" s="683">
      <c r="A13" s="664" t="inlineStr">
        <is>
          <t>五</t>
        </is>
      </c>
      <c r="B13" s="996" t="n"/>
      <c r="C13" s="995" t="inlineStr">
        <is>
          <t>收領人拒絕或不能簽名蓋章及捺指印。</t>
        </is>
      </c>
      <c r="D13" s="579" t="n"/>
      <c r="E13" s="579" t="n"/>
      <c r="F13" s="579" t="n"/>
      <c r="G13" s="576" t="n"/>
    </row>
    <row r="14" ht="45.75" customHeight="1" s="683">
      <c r="A14" s="991" t="inlineStr">
        <is>
          <t>收領人簽名蓋章或捺指印：</t>
        </is>
      </c>
      <c r="B14" s="579" t="n"/>
      <c r="C14" s="579" t="n"/>
      <c r="D14" s="579" t="n"/>
      <c r="E14" s="579" t="n"/>
      <c r="F14" s="579" t="n"/>
      <c r="G14" s="576" t="n"/>
    </row>
    <row r="15" ht="41.25" customHeight="1" s="683">
      <c r="A15" s="992" t="inlineStr">
        <is>
          <t>送達之時日</t>
        </is>
      </c>
      <c r="B15" s="576" t="n"/>
      <c r="C15" s="995">
        <f>CONCATENATE("中華民國　　年　　月　　日　　時　　分")</f>
        <v/>
      </c>
      <c r="D15" s="579" t="n"/>
      <c r="E15" s="579" t="n"/>
      <c r="F15" s="579" t="n"/>
      <c r="G15" s="576" t="n"/>
    </row>
    <row r="16" ht="41.25" customHeight="1" s="683">
      <c r="A16" s="992" t="inlineStr">
        <is>
          <t>送達之處所</t>
        </is>
      </c>
      <c r="B16" s="576" t="n"/>
      <c r="C16" s="995" t="n"/>
      <c r="D16" s="579" t="n"/>
      <c r="E16" s="579" t="n"/>
      <c r="F16" s="579" t="n"/>
      <c r="G16" s="576" t="n"/>
    </row>
    <row r="17" ht="35.25" customHeight="1" s="683">
      <c r="A17" s="993">
        <f>CONCATENATE("中華民國　",LEFT(下拉用!$J$10,10),"製作")</f>
        <v/>
      </c>
      <c r="G17" s="609" t="n"/>
    </row>
    <row r="18" ht="35.25" customHeight="1" s="683">
      <c r="A18" s="994" t="inlineStr">
        <is>
          <t xml:space="preserve">司法警察（職稱、姓名）： </t>
        </is>
      </c>
      <c r="B18" s="585" t="n"/>
      <c r="C18" s="585" t="n"/>
      <c r="D18" s="585" t="n"/>
      <c r="E18" s="585" t="n"/>
      <c r="F18" s="585" t="n"/>
      <c r="G18" s="586" t="n"/>
    </row>
    <row r="19">
      <c r="A19" s="593" t="inlineStr">
        <is>
          <t>注意：</t>
        </is>
      </c>
    </row>
    <row r="20" ht="35.25" customHeight="1" s="683">
      <c r="A20" s="704" t="inlineStr">
        <is>
          <t>一、「一」、「二」、「三」、「四」、「五」等欄所載各方法中，係依其何種方法將文書送達，應在該欄數字右方之空格內打勾為記。</t>
        </is>
      </c>
    </row>
    <row r="21">
      <c r="A21" s="778" t="inlineStr">
        <is>
          <t>二、如係同居人、受僱人應載其姓名及與本人之關係。</t>
        </is>
      </c>
    </row>
  </sheetData>
  <mergeCells count="30">
    <mergeCell ref="A14:G14"/>
    <mergeCell ref="A15:B15"/>
    <mergeCell ref="A17:G17"/>
    <mergeCell ref="C6:G6"/>
    <mergeCell ref="C15:G15"/>
    <mergeCell ref="A20:G20"/>
    <mergeCell ref="B11:B12"/>
    <mergeCell ref="A4:B5"/>
    <mergeCell ref="A16:B16"/>
    <mergeCell ref="C10:G10"/>
    <mergeCell ref="C16:G16"/>
    <mergeCell ref="B7:B9"/>
    <mergeCell ref="A3:B3"/>
    <mergeCell ref="A2:B2"/>
    <mergeCell ref="A1:G1"/>
    <mergeCell ref="C12:G12"/>
    <mergeCell ref="C2:G2"/>
    <mergeCell ref="C11:G11"/>
    <mergeCell ref="D9:E9"/>
    <mergeCell ref="D8:E8"/>
    <mergeCell ref="C4:D5"/>
    <mergeCell ref="C7:G7"/>
    <mergeCell ref="A7:A9"/>
    <mergeCell ref="A18:G18"/>
    <mergeCell ref="E5:G5"/>
    <mergeCell ref="A21:G21"/>
    <mergeCell ref="E4:G4"/>
    <mergeCell ref="C13:G13"/>
    <mergeCell ref="A11:A12"/>
    <mergeCell ref="C3:G3"/>
  </mergeCells>
  <pageMargins left="0.7" right="0.7" top="0.75" bottom="0.75" header="0.3" footer="0.3"/>
  <pageSetup orientation="portrait" paperSize="9"/>
</worksheet>
</file>

<file path=xl/worksheets/sheet35.xml><?xml version="1.0" encoding="utf-8"?>
<worksheet xmlns="http://schemas.openxmlformats.org/spreadsheetml/2006/main">
  <sheetPr codeName="工作表34">
    <tabColor theme="9"/>
    <outlinePr summaryBelow="1" summaryRight="1"/>
    <pageSetUpPr/>
  </sheetPr>
  <dimension ref="A1:AD21"/>
  <sheetViews>
    <sheetView showGridLines="0" view="pageBreakPreview" zoomScale="115" zoomScaleNormal="100" zoomScaleSheetLayoutView="115" workbookViewId="0">
      <selection activeCell="E9" sqref="E9:T10"/>
    </sheetView>
  </sheetViews>
  <sheetFormatPr baseColWidth="8" defaultRowHeight="16.5"/>
  <cols>
    <col width="3.75" customWidth="1" style="683" min="1" max="4"/>
    <col width="3" customWidth="1" style="683" min="5" max="19"/>
    <col width="3.25" customWidth="1" style="683" min="20" max="44"/>
  </cols>
  <sheetData>
    <row r="1">
      <c r="A1" s="1001">
        <f>CONCATENATE(,輸入!$S$18,輸入!$T$18,輸入!$S$19,輸入!$T$19,輸入!$S$20,輸入!$T$20,CHAR(10),"偵辦",word用!$E$2,"案件手機查扣紀錄表")</f>
        <v/>
      </c>
      <c r="B1" s="582" t="n"/>
      <c r="C1" s="582" t="n"/>
      <c r="D1" s="582" t="n"/>
      <c r="E1" s="582" t="n"/>
      <c r="F1" s="582" t="n"/>
      <c r="G1" s="582" t="n"/>
      <c r="H1" s="582" t="n"/>
      <c r="I1" s="582" t="n"/>
      <c r="J1" s="582" t="n"/>
      <c r="K1" s="582" t="n"/>
      <c r="L1" s="582" t="n"/>
      <c r="M1" s="582" t="n"/>
      <c r="N1" s="582" t="n"/>
      <c r="O1" s="582" t="n"/>
      <c r="P1" s="582" t="n"/>
      <c r="Q1" s="582" t="n"/>
      <c r="R1" s="582" t="n"/>
      <c r="S1" s="582" t="n"/>
      <c r="T1" s="582" t="n"/>
      <c r="U1" s="582" t="n"/>
      <c r="V1" s="582" t="n"/>
      <c r="W1" s="582" t="n"/>
      <c r="X1" s="582" t="n"/>
      <c r="Y1" s="582" t="n"/>
      <c r="Z1" s="583" t="n"/>
      <c r="AA1" s="608" t="n"/>
      <c r="AB1" s="608" t="n"/>
      <c r="AC1" s="608" t="n"/>
      <c r="AD1" s="608" t="n"/>
    </row>
    <row r="2" ht="21" customHeight="1" s="683">
      <c r="A2" s="607" t="n"/>
      <c r="Z2" s="609" t="n"/>
      <c r="AA2" s="608" t="n"/>
      <c r="AB2" s="608" t="n"/>
      <c r="AC2" s="608" t="n"/>
      <c r="AD2" s="608" t="n"/>
    </row>
    <row r="3">
      <c r="A3" s="607" t="n"/>
      <c r="Z3" s="609" t="n"/>
      <c r="AA3" s="608" t="n"/>
      <c r="AB3" s="608" t="n"/>
      <c r="AC3" s="608" t="n"/>
      <c r="AD3" s="608" t="n"/>
    </row>
    <row r="4">
      <c r="A4" s="584" t="n"/>
      <c r="B4" s="585" t="n"/>
      <c r="C4" s="585" t="n"/>
      <c r="D4" s="585" t="n"/>
      <c r="E4" s="585" t="n"/>
      <c r="F4" s="585" t="n"/>
      <c r="G4" s="585" t="n"/>
      <c r="H4" s="585" t="n"/>
      <c r="I4" s="585" t="n"/>
      <c r="J4" s="585" t="n"/>
      <c r="K4" s="585" t="n"/>
      <c r="L4" s="585" t="n"/>
      <c r="M4" s="585" t="n"/>
      <c r="N4" s="585" t="n"/>
      <c r="O4" s="585" t="n"/>
      <c r="P4" s="585" t="n"/>
      <c r="Q4" s="585" t="n"/>
      <c r="R4" s="585" t="n"/>
      <c r="S4" s="585" t="n"/>
      <c r="T4" s="585" t="n"/>
      <c r="U4" s="585" t="n"/>
      <c r="V4" s="585" t="n"/>
      <c r="W4" s="585" t="n"/>
      <c r="X4" s="585" t="n"/>
      <c r="Y4" s="585" t="n"/>
      <c r="Z4" s="586" t="n"/>
      <c r="AA4" s="608" t="n"/>
      <c r="AB4" s="608" t="n"/>
      <c r="AC4" s="608" t="n"/>
      <c r="AD4" s="608" t="n"/>
    </row>
    <row r="5" ht="21" customHeight="1" s="683">
      <c r="A5" s="1002" t="inlineStr">
        <is>
          <t>案由</t>
        </is>
      </c>
      <c r="B5" s="582" t="n"/>
      <c r="C5" s="582" t="n"/>
      <c r="D5" s="583" t="n"/>
      <c r="E5" s="1002">
        <f>CONCATENATE(word用!$E$2,"案")</f>
        <v/>
      </c>
      <c r="F5" s="582" t="n"/>
      <c r="G5" s="582" t="n"/>
      <c r="H5" s="582" t="n"/>
      <c r="I5" s="582" t="n"/>
      <c r="J5" s="582" t="n"/>
      <c r="K5" s="582" t="n"/>
      <c r="L5" s="582" t="n"/>
      <c r="M5" s="582" t="n"/>
      <c r="N5" s="582" t="n"/>
      <c r="O5" s="582" t="n"/>
      <c r="P5" s="582" t="n"/>
      <c r="Q5" s="582" t="n"/>
      <c r="R5" s="582" t="n"/>
      <c r="S5" s="582" t="n"/>
      <c r="T5" s="582" t="n"/>
      <c r="U5" s="582" t="n"/>
      <c r="V5" s="582" t="n"/>
      <c r="W5" s="582" t="n"/>
      <c r="X5" s="582" t="n"/>
      <c r="Y5" s="582" t="n"/>
      <c r="Z5" s="583" t="n"/>
      <c r="AA5" s="428" t="n"/>
      <c r="AB5" s="428" t="n"/>
      <c r="AC5" s="428" t="n"/>
      <c r="AD5" s="428" t="n"/>
    </row>
    <row r="6" ht="21" customHeight="1" s="683">
      <c r="A6" s="584" t="n"/>
      <c r="B6" s="585" t="n"/>
      <c r="C6" s="585" t="n"/>
      <c r="D6" s="586" t="n"/>
      <c r="E6" s="584" t="n"/>
      <c r="F6" s="585" t="n"/>
      <c r="G6" s="585" t="n"/>
      <c r="H6" s="585" t="n"/>
      <c r="I6" s="585" t="n"/>
      <c r="J6" s="585" t="n"/>
      <c r="K6" s="585" t="n"/>
      <c r="L6" s="585" t="n"/>
      <c r="M6" s="585" t="n"/>
      <c r="N6" s="585" t="n"/>
      <c r="O6" s="585" t="n"/>
      <c r="P6" s="585" t="n"/>
      <c r="Q6" s="585" t="n"/>
      <c r="R6" s="585" t="n"/>
      <c r="S6" s="585" t="n"/>
      <c r="T6" s="585" t="n"/>
      <c r="U6" s="585" t="n"/>
      <c r="V6" s="585" t="n"/>
      <c r="W6" s="585" t="n"/>
      <c r="X6" s="585" t="n"/>
      <c r="Y6" s="585" t="n"/>
      <c r="Z6" s="586" t="n"/>
      <c r="AA6" s="428" t="n"/>
      <c r="AB6" s="428" t="n"/>
      <c r="AC6" s="428" t="n"/>
      <c r="AD6" s="428" t="n"/>
    </row>
    <row r="7" ht="21" customHeight="1" s="683">
      <c r="A7" s="1002" t="inlineStr">
        <is>
          <t>查獲時間</t>
        </is>
      </c>
      <c r="B7" s="582" t="n"/>
      <c r="C7" s="582" t="n"/>
      <c r="D7" s="583" t="n"/>
      <c r="E7" s="1012">
        <f>下拉用!$J$5</f>
        <v/>
      </c>
      <c r="F7" s="582" t="n"/>
      <c r="G7" s="582" t="n"/>
      <c r="H7" s="582" t="n"/>
      <c r="I7" s="582" t="n"/>
      <c r="J7" s="582" t="n"/>
      <c r="K7" s="582" t="n"/>
      <c r="L7" s="582" t="n"/>
      <c r="M7" s="582" t="n"/>
      <c r="N7" s="582" t="n"/>
      <c r="O7" s="582" t="n"/>
      <c r="P7" s="582" t="n"/>
      <c r="Q7" s="582" t="n"/>
      <c r="R7" s="582" t="n"/>
      <c r="S7" s="582" t="n"/>
      <c r="T7" s="583" t="n"/>
      <c r="U7" s="428" t="n"/>
      <c r="V7" s="428" t="n"/>
      <c r="W7" s="428" t="n"/>
      <c r="X7" s="428" t="n"/>
      <c r="Y7" s="428" t="n"/>
      <c r="Z7" s="429" t="n"/>
      <c r="AA7" s="428" t="n"/>
      <c r="AB7" s="428" t="n"/>
      <c r="AC7" s="428" t="n"/>
      <c r="AD7" s="428" t="n"/>
    </row>
    <row r="8" ht="21" customHeight="1" s="683">
      <c r="A8" s="584" t="n"/>
      <c r="B8" s="585" t="n"/>
      <c r="C8" s="585" t="n"/>
      <c r="D8" s="586" t="n"/>
      <c r="E8" s="584" t="n"/>
      <c r="F8" s="585" t="n"/>
      <c r="G8" s="585" t="n"/>
      <c r="H8" s="585" t="n"/>
      <c r="I8" s="585" t="n"/>
      <c r="J8" s="585" t="n"/>
      <c r="K8" s="585" t="n"/>
      <c r="L8" s="585" t="n"/>
      <c r="M8" s="585" t="n"/>
      <c r="N8" s="585" t="n"/>
      <c r="O8" s="585" t="n"/>
      <c r="P8" s="585" t="n"/>
      <c r="Q8" s="585" t="n"/>
      <c r="R8" s="585" t="n"/>
      <c r="S8" s="585" t="n"/>
      <c r="T8" s="586" t="n"/>
      <c r="U8" s="428" t="n"/>
      <c r="V8" s="428" t="n"/>
      <c r="W8" s="428" t="n"/>
      <c r="X8" s="428" t="n"/>
      <c r="Y8" s="428" t="n"/>
      <c r="Z8" s="429" t="n"/>
      <c r="AA8" s="428" t="n"/>
      <c r="AB8" s="428" t="n"/>
      <c r="AC8" s="428" t="n"/>
      <c r="AD8" s="428" t="n"/>
    </row>
    <row r="9" ht="21" customHeight="1" s="683">
      <c r="A9" s="1002" t="inlineStr">
        <is>
          <t>查獲地點</t>
        </is>
      </c>
      <c r="B9" s="582" t="n"/>
      <c r="C9" s="582" t="n"/>
      <c r="D9" s="583" t="n"/>
      <c r="E9" s="1006">
        <f>word用!$Y$2</f>
        <v/>
      </c>
      <c r="F9" s="582" t="n"/>
      <c r="G9" s="582" t="n"/>
      <c r="H9" s="582" t="n"/>
      <c r="I9" s="582" t="n"/>
      <c r="J9" s="582" t="n"/>
      <c r="K9" s="582" t="n"/>
      <c r="L9" s="582" t="n"/>
      <c r="M9" s="582" t="n"/>
      <c r="N9" s="582" t="n"/>
      <c r="O9" s="582" t="n"/>
      <c r="P9" s="582" t="n"/>
      <c r="Q9" s="582" t="n"/>
      <c r="R9" s="582" t="n"/>
      <c r="S9" s="582" t="n"/>
      <c r="T9" s="583" t="n"/>
      <c r="U9" s="428" t="n"/>
      <c r="V9" s="428" t="n"/>
      <c r="W9" s="428" t="n"/>
      <c r="X9" s="428" t="n"/>
      <c r="Y9" s="428" t="n"/>
      <c r="Z9" s="429" t="n"/>
      <c r="AA9" s="428" t="n"/>
      <c r="AB9" s="428" t="n"/>
      <c r="AC9" s="428" t="n"/>
      <c r="AD9" s="428" t="n"/>
    </row>
    <row r="10" ht="21" customHeight="1" s="683">
      <c r="A10" s="584" t="n"/>
      <c r="B10" s="585" t="n"/>
      <c r="C10" s="585" t="n"/>
      <c r="D10" s="586" t="n"/>
      <c r="E10" s="584" t="n"/>
      <c r="F10" s="585" t="n"/>
      <c r="G10" s="585" t="n"/>
      <c r="H10" s="585" t="n"/>
      <c r="I10" s="585" t="n"/>
      <c r="J10" s="585" t="n"/>
      <c r="K10" s="585" t="n"/>
      <c r="L10" s="585" t="n"/>
      <c r="M10" s="585" t="n"/>
      <c r="N10" s="585" t="n"/>
      <c r="O10" s="585" t="n"/>
      <c r="P10" s="585" t="n"/>
      <c r="Q10" s="585" t="n"/>
      <c r="R10" s="585" t="n"/>
      <c r="S10" s="585" t="n"/>
      <c r="T10" s="586" t="n"/>
      <c r="U10" s="430" t="n"/>
      <c r="V10" s="430" t="n"/>
      <c r="W10" s="430" t="n"/>
      <c r="X10" s="430" t="n"/>
      <c r="Y10" s="430" t="n"/>
      <c r="Z10" s="431" t="n"/>
      <c r="AA10" s="428" t="n"/>
      <c r="AB10" s="428" t="n"/>
      <c r="AC10" s="428" t="n"/>
      <c r="AD10" s="428" t="n"/>
    </row>
    <row r="11" ht="21" customHeight="1" s="683">
      <c r="A11" s="1009" t="inlineStr">
        <is>
          <t>行動電話
廠牌/型號/顏色</t>
        </is>
      </c>
      <c r="B11" s="582" t="n"/>
      <c r="C11" s="582" t="n"/>
      <c r="D11" s="583" t="n"/>
      <c r="E11" s="1007" t="n"/>
      <c r="F11" s="582" t="n"/>
      <c r="G11" s="582" t="n"/>
      <c r="H11" s="582" t="n"/>
      <c r="I11" s="1003" t="inlineStr">
        <is>
          <t>牌/</t>
        </is>
      </c>
      <c r="J11" s="582" t="n"/>
      <c r="K11" s="1010" t="n"/>
      <c r="L11" s="582" t="n"/>
      <c r="M11" s="582" t="n"/>
      <c r="N11" s="582" t="n"/>
      <c r="O11" s="582" t="n"/>
      <c r="P11" s="582" t="n"/>
      <c r="Q11" s="1003" t="inlineStr">
        <is>
          <t>型/</t>
        </is>
      </c>
      <c r="R11" s="582" t="n"/>
      <c r="S11" s="1005" t="n"/>
      <c r="T11" s="582" t="n"/>
      <c r="U11" s="582" t="n"/>
      <c r="V11" s="1003" t="inlineStr">
        <is>
          <t>色</t>
        </is>
      </c>
      <c r="W11" s="582" t="n"/>
      <c r="X11" s="206" t="n"/>
      <c r="Y11" s="206" t="n"/>
      <c r="Z11" s="205" t="n"/>
      <c r="AA11" s="428" t="n"/>
      <c r="AB11" s="428" t="n"/>
      <c r="AC11" s="428" t="n"/>
      <c r="AD11" s="428" t="n"/>
    </row>
    <row r="12" ht="21" customHeight="1" s="683">
      <c r="A12" s="584" t="n"/>
      <c r="B12" s="585" t="n"/>
      <c r="C12" s="585" t="n"/>
      <c r="D12" s="586" t="n"/>
      <c r="E12" s="584" t="n"/>
      <c r="F12" s="585" t="n"/>
      <c r="G12" s="585" t="n"/>
      <c r="H12" s="585" t="n"/>
      <c r="I12" s="585" t="n"/>
      <c r="J12" s="585" t="n"/>
      <c r="K12" s="585" t="n"/>
      <c r="L12" s="585" t="n"/>
      <c r="M12" s="585" t="n"/>
      <c r="N12" s="585" t="n"/>
      <c r="O12" s="585" t="n"/>
      <c r="P12" s="585" t="n"/>
      <c r="Q12" s="585" t="n"/>
      <c r="R12" s="585" t="n"/>
      <c r="S12" s="585" t="n"/>
      <c r="T12" s="585" t="n"/>
      <c r="U12" s="585" t="n"/>
      <c r="V12" s="585" t="n"/>
      <c r="W12" s="585" t="n"/>
      <c r="X12" s="430" t="n"/>
      <c r="Y12" s="430" t="n"/>
      <c r="Z12" s="431" t="n"/>
      <c r="AA12" s="428" t="n"/>
      <c r="AB12" s="428" t="n"/>
      <c r="AC12" s="428" t="n"/>
      <c r="AD12" s="428" t="n"/>
    </row>
    <row r="13" ht="21" customHeight="1" s="683">
      <c r="A13" s="613" t="inlineStr">
        <is>
          <t>行動電話
門號/電信公司</t>
        </is>
      </c>
      <c r="B13" s="582" t="n"/>
      <c r="C13" s="582" t="n"/>
      <c r="D13" s="583" t="n"/>
      <c r="E13" s="1007" t="inlineStr">
        <is>
          <t>門號：</t>
        </is>
      </c>
      <c r="F13" s="582" t="n"/>
      <c r="G13" s="582" t="n"/>
      <c r="H13" s="1337">
        <f>word用!$K$2</f>
        <v/>
      </c>
      <c r="I13" s="582" t="n"/>
      <c r="J13" s="582" t="n"/>
      <c r="K13" s="582" t="n"/>
      <c r="L13" s="582" t="n"/>
      <c r="M13" s="582" t="n"/>
      <c r="N13" s="582" t="n"/>
      <c r="O13" s="1014" t="inlineStr">
        <is>
          <t>電信</t>
        </is>
      </c>
      <c r="P13" s="576" t="n"/>
      <c r="Q13" s="1002" t="n"/>
      <c r="R13" s="579" t="n"/>
      <c r="S13" s="579" t="n"/>
      <c r="T13" s="579" t="n"/>
      <c r="U13" s="579" t="n"/>
      <c r="V13" s="579" t="n"/>
      <c r="W13" s="579" t="n"/>
      <c r="X13" s="579" t="n"/>
      <c r="Y13" s="579" t="n"/>
      <c r="Z13" s="576" t="n"/>
      <c r="AA13" s="428" t="n"/>
      <c r="AB13" s="428" t="n"/>
      <c r="AC13" s="428" t="n"/>
      <c r="AD13" s="428" t="n"/>
    </row>
    <row r="14" ht="21" customHeight="1" s="683">
      <c r="A14" s="584" t="n"/>
      <c r="B14" s="585" t="n"/>
      <c r="C14" s="585" t="n"/>
      <c r="D14" s="586" t="n"/>
      <c r="E14" s="584" t="n"/>
      <c r="F14" s="585" t="n"/>
      <c r="G14" s="585" t="n"/>
      <c r="H14" s="585" t="n"/>
      <c r="I14" s="585" t="n"/>
      <c r="J14" s="585" t="n"/>
      <c r="K14" s="585" t="n"/>
      <c r="L14" s="585" t="n"/>
      <c r="M14" s="585" t="n"/>
      <c r="N14" s="585" t="n"/>
      <c r="O14" s="1013" t="inlineStr">
        <is>
          <t>IMEI</t>
        </is>
      </c>
      <c r="P14" s="586" t="n"/>
      <c r="Q14" s="1011" t="n"/>
      <c r="R14" s="579" t="n"/>
      <c r="S14" s="579" t="n"/>
      <c r="T14" s="579" t="n"/>
      <c r="U14" s="579" t="n"/>
      <c r="V14" s="579" t="n"/>
      <c r="W14" s="579" t="n"/>
      <c r="X14" s="579" t="n"/>
      <c r="Y14" s="579" t="n"/>
      <c r="Z14" s="576" t="n"/>
      <c r="AA14" s="428" t="n"/>
      <c r="AB14" s="428" t="n"/>
      <c r="AC14" s="428" t="n"/>
      <c r="AD14" s="428" t="n"/>
    </row>
    <row r="15" ht="25.5" customHeight="1" s="683">
      <c r="A15" s="1002" t="inlineStr">
        <is>
          <t>開機密碼</t>
        </is>
      </c>
      <c r="B15" s="579" t="n"/>
      <c r="C15" s="579" t="n"/>
      <c r="D15" s="576" t="n"/>
      <c r="E15" s="204" t="inlineStr">
        <is>
          <t>□</t>
        </is>
      </c>
      <c r="F15" s="1003" t="inlineStr">
        <is>
          <t>無密碼</t>
        </is>
      </c>
      <c r="G15" s="579" t="n"/>
      <c r="H15" s="579" t="n"/>
      <c r="I15" s="204">
        <f>IF(ISBLANK($N$15),"□","V")</f>
        <v/>
      </c>
      <c r="J15" s="1003" t="inlineStr">
        <is>
          <t>有密碼：</t>
        </is>
      </c>
      <c r="K15" s="579" t="n"/>
      <c r="L15" s="579" t="n"/>
      <c r="M15" s="579" t="n"/>
      <c r="N15" s="1004" t="n"/>
      <c r="O15" s="579" t="n"/>
      <c r="P15" s="579" t="n"/>
      <c r="Q15" s="579" t="n"/>
      <c r="R15" s="579" t="n"/>
      <c r="S15" s="579" t="n"/>
      <c r="T15" s="579" t="n"/>
      <c r="U15" s="579" t="n"/>
      <c r="V15" s="579" t="n"/>
      <c r="W15" s="579" t="n"/>
      <c r="X15" s="579" t="n"/>
      <c r="Y15" s="579" t="n"/>
      <c r="Z15" s="576" t="n"/>
      <c r="AA15" s="428" t="n"/>
      <c r="AB15" s="428" t="n"/>
      <c r="AC15" s="428" t="n"/>
      <c r="AD15" s="428" t="n"/>
    </row>
    <row r="16" ht="25.5" customHeight="1" s="683">
      <c r="A16" s="1002" t="inlineStr">
        <is>
          <t>SIM密碼</t>
        </is>
      </c>
      <c r="B16" s="579" t="n"/>
      <c r="C16" s="579" t="n"/>
      <c r="D16" s="576" t="n"/>
      <c r="E16" s="204" t="inlineStr">
        <is>
          <t>□</t>
        </is>
      </c>
      <c r="F16" s="1003" t="inlineStr">
        <is>
          <t>無密碼</t>
        </is>
      </c>
      <c r="G16" s="579" t="n"/>
      <c r="H16" s="579" t="n"/>
      <c r="I16" s="204">
        <f>IF(ISBLANK($N$16),"□","V")</f>
        <v/>
      </c>
      <c r="J16" s="1003" t="inlineStr">
        <is>
          <t>有密碼：</t>
        </is>
      </c>
      <c r="K16" s="579" t="n"/>
      <c r="L16" s="579" t="n"/>
      <c r="M16" s="579" t="n"/>
      <c r="N16" s="1004" t="n"/>
      <c r="O16" s="579" t="n"/>
      <c r="P16" s="579" t="n"/>
      <c r="Q16" s="579" t="n"/>
      <c r="R16" s="579" t="n"/>
      <c r="S16" s="579" t="n"/>
      <c r="T16" s="579" t="n"/>
      <c r="U16" s="579" t="n"/>
      <c r="V16" s="579" t="n"/>
      <c r="W16" s="579" t="n"/>
      <c r="X16" s="579" t="n"/>
      <c r="Y16" s="579" t="n"/>
      <c r="Z16" s="576" t="n"/>
      <c r="AA16" s="428" t="n"/>
      <c r="AB16" s="428" t="n"/>
      <c r="AC16" s="428" t="n"/>
      <c r="AD16" s="428" t="n"/>
    </row>
    <row r="17" ht="21" customHeight="1" s="683">
      <c r="A17" s="428" t="n"/>
      <c r="B17" s="428" t="n"/>
      <c r="C17" s="428" t="n"/>
      <c r="D17" s="428" t="n"/>
      <c r="E17" s="428" t="n"/>
      <c r="F17" s="428" t="n"/>
      <c r="G17" s="428" t="n"/>
      <c r="H17" s="428" t="n"/>
      <c r="I17" s="428" t="n"/>
      <c r="J17" s="428" t="n"/>
      <c r="K17" s="428" t="n"/>
      <c r="L17" s="428" t="n"/>
      <c r="M17" s="428" t="n"/>
      <c r="N17" s="428" t="n"/>
      <c r="O17" s="428" t="n"/>
      <c r="P17" s="428" t="n"/>
      <c r="Q17" s="428" t="n"/>
      <c r="R17" s="428" t="n"/>
      <c r="S17" s="428" t="n"/>
      <c r="T17" s="428" t="n"/>
      <c r="U17" s="428" t="n"/>
      <c r="V17" s="428" t="n"/>
      <c r="W17" s="428" t="n"/>
      <c r="X17" s="428" t="n"/>
      <c r="Y17" s="428" t="n"/>
      <c r="Z17" s="428" t="n"/>
      <c r="AA17" s="428" t="n"/>
      <c r="AB17" s="428" t="n"/>
      <c r="AC17" s="428" t="n"/>
      <c r="AD17" s="428" t="n"/>
    </row>
    <row r="18" ht="21" customHeight="1" s="683">
      <c r="A18" s="428" t="n"/>
      <c r="B18" s="428" t="n"/>
      <c r="C18" s="428" t="n"/>
      <c r="D18" s="428" t="n"/>
      <c r="E18" s="428" t="n"/>
      <c r="F18" s="428" t="n"/>
      <c r="G18" s="428" t="n"/>
      <c r="H18" s="428" t="n"/>
      <c r="I18" s="428" t="n"/>
      <c r="J18" s="428" t="n"/>
      <c r="K18" s="428" t="n"/>
      <c r="L18" s="428" t="n"/>
      <c r="M18" s="428" t="n"/>
      <c r="N18" s="428" t="n"/>
      <c r="O18" s="428" t="n"/>
      <c r="P18" s="428" t="n"/>
      <c r="Q18" s="428" t="n"/>
      <c r="R18" s="428" t="n"/>
      <c r="S18" s="428" t="n"/>
      <c r="T18" s="428" t="n"/>
      <c r="U18" s="428" t="n"/>
      <c r="V18" s="428" t="n"/>
      <c r="W18" s="428" t="n"/>
      <c r="X18" s="428" t="n"/>
      <c r="Y18" s="428" t="n"/>
      <c r="Z18" s="428" t="n"/>
      <c r="AA18" s="428" t="n"/>
      <c r="AB18" s="428" t="n"/>
      <c r="AC18" s="428" t="n"/>
      <c r="AD18" s="428" t="n"/>
    </row>
    <row r="19" ht="21" customHeight="1" s="683">
      <c r="A19" s="428" t="n"/>
      <c r="B19" s="428" t="n"/>
      <c r="C19" s="428" t="n"/>
      <c r="D19" s="428" t="n"/>
      <c r="E19" s="428" t="n"/>
      <c r="F19" s="428" t="n"/>
      <c r="G19" s="428" t="n"/>
      <c r="H19" s="428" t="n"/>
      <c r="I19" s="428" t="n"/>
      <c r="J19" s="428" t="n"/>
      <c r="K19" s="428" t="n"/>
      <c r="L19" s="428" t="n"/>
      <c r="M19" s="428" t="n"/>
      <c r="N19" s="428" t="n"/>
      <c r="O19" s="428" t="n"/>
      <c r="P19" s="428" t="n"/>
      <c r="Q19" s="428" t="n"/>
      <c r="R19" s="428" t="n"/>
      <c r="S19" s="428" t="n"/>
      <c r="T19" s="428" t="n"/>
      <c r="U19" s="428" t="n"/>
      <c r="V19" s="428" t="n"/>
      <c r="W19" s="428" t="n"/>
      <c r="X19" s="428" t="n"/>
      <c r="Y19" s="428" t="n"/>
      <c r="Z19" s="428" t="n"/>
      <c r="AA19" s="428" t="n"/>
      <c r="AB19" s="428" t="n"/>
      <c r="AC19" s="428" t="n"/>
      <c r="AD19" s="428" t="n"/>
    </row>
    <row r="20" ht="21" customHeight="1" s="683">
      <c r="A20" s="428" t="n"/>
      <c r="B20" s="428" t="n"/>
      <c r="C20" s="428" t="n"/>
      <c r="D20" s="428" t="n"/>
      <c r="E20" s="428" t="n"/>
      <c r="F20" s="428" t="n"/>
      <c r="G20" s="428" t="n"/>
      <c r="H20" s="428" t="n"/>
      <c r="I20" s="428" t="n"/>
      <c r="J20" s="428" t="n"/>
      <c r="K20" s="428" t="n"/>
      <c r="L20" s="428" t="n"/>
      <c r="M20" s="428" t="n"/>
      <c r="N20" s="428" t="n"/>
      <c r="O20" s="428" t="n"/>
      <c r="P20" s="428" t="n"/>
      <c r="Q20" s="428" t="n"/>
      <c r="R20" s="428" t="n"/>
      <c r="S20" s="428" t="n"/>
      <c r="T20" s="428" t="n"/>
      <c r="U20" s="428" t="n"/>
      <c r="V20" s="428" t="n"/>
      <c r="W20" s="428" t="n"/>
      <c r="X20" s="428" t="n"/>
      <c r="Y20" s="428" t="n"/>
      <c r="Z20" s="428" t="n"/>
      <c r="AA20" s="428" t="n"/>
      <c r="AB20" s="428" t="n"/>
      <c r="AC20" s="428" t="n"/>
      <c r="AD20" s="428" t="n"/>
    </row>
    <row r="21" ht="21" customHeight="1" s="683">
      <c r="A21" s="428" t="n"/>
      <c r="B21" s="428" t="n"/>
      <c r="C21" s="428" t="n"/>
      <c r="D21" s="428" t="n"/>
      <c r="E21" s="428" t="n"/>
      <c r="F21" s="428" t="n"/>
      <c r="G21" s="428" t="n"/>
      <c r="H21" s="428" t="n"/>
      <c r="I21" s="428" t="n"/>
      <c r="J21" s="428" t="n"/>
      <c r="K21" s="428" t="n"/>
      <c r="L21" s="428" t="n"/>
      <c r="M21" s="428" t="n"/>
      <c r="N21" s="428" t="n"/>
      <c r="O21" s="428" t="n"/>
      <c r="P21" s="428" t="n"/>
      <c r="Q21" s="428" t="n"/>
      <c r="R21" s="428" t="n"/>
      <c r="S21" s="428" t="n"/>
      <c r="T21" s="428" t="n"/>
      <c r="U21" s="428" t="n"/>
      <c r="V21" s="428" t="n"/>
      <c r="W21" s="428" t="n"/>
      <c r="X21" s="428" t="n"/>
      <c r="Y21" s="428" t="n"/>
      <c r="Z21" s="428" t="n"/>
      <c r="AA21" s="428" t="n"/>
      <c r="AB21" s="428" t="n"/>
      <c r="AC21" s="428" t="n"/>
      <c r="AD21" s="428" t="n"/>
    </row>
  </sheetData>
  <mergeCells count="29">
    <mergeCell ref="A1:Z4"/>
    <mergeCell ref="E5:Z6"/>
    <mergeCell ref="V11:W12"/>
    <mergeCell ref="A7:D8"/>
    <mergeCell ref="N15:Z15"/>
    <mergeCell ref="S11:U12"/>
    <mergeCell ref="Q11:R12"/>
    <mergeCell ref="Q13:Z13"/>
    <mergeCell ref="A15:D15"/>
    <mergeCell ref="E9:T10"/>
    <mergeCell ref="E13:G14"/>
    <mergeCell ref="F15:H15"/>
    <mergeCell ref="E11:H12"/>
    <mergeCell ref="N16:Z16"/>
    <mergeCell ref="A5:D6"/>
    <mergeCell ref="H13:N14"/>
    <mergeCell ref="A13:D14"/>
    <mergeCell ref="I11:J12"/>
    <mergeCell ref="K11:P12"/>
    <mergeCell ref="A16:D16"/>
    <mergeCell ref="J15:M15"/>
    <mergeCell ref="Q14:Z14"/>
    <mergeCell ref="E7:T8"/>
    <mergeCell ref="F16:H16"/>
    <mergeCell ref="A9:D10"/>
    <mergeCell ref="O14:P14"/>
    <mergeCell ref="J16:M16"/>
    <mergeCell ref="A11:D12"/>
    <mergeCell ref="O13:P13"/>
  </mergeCells>
  <pageMargins left="0.7" right="0.7" top="0.75" bottom="0.75" header="0.3" footer="0.3"/>
  <pageSetup orientation="portrait" paperSize="9"/>
</worksheet>
</file>

<file path=xl/worksheets/sheet36.xml><?xml version="1.0" encoding="utf-8"?>
<worksheet xmlns="http://schemas.openxmlformats.org/spreadsheetml/2006/main">
  <sheetPr codeName="工作表36">
    <tabColor theme="9"/>
    <outlinePr summaryBelow="1" summaryRight="1"/>
    <pageSetUpPr fitToPage="1"/>
  </sheetPr>
  <dimension ref="A1:G35"/>
  <sheetViews>
    <sheetView view="pageLayout" zoomScaleNormal="100" workbookViewId="0">
      <selection activeCell="D28" sqref="D28:E31"/>
    </sheetView>
  </sheetViews>
  <sheetFormatPr baseColWidth="8" defaultRowHeight="12.75"/>
  <cols>
    <col width="21.125" customWidth="1" style="1016" min="1" max="1"/>
    <col width="33.875" customWidth="1" style="1016" min="2" max="2"/>
    <col width="13" customWidth="1" style="1016" min="3" max="3"/>
    <col width="22.625" customWidth="1" style="1016" min="4" max="4"/>
    <col width="16.5" customWidth="1" style="1016" min="5" max="5"/>
    <col width="14.875" customWidth="1" style="1016" min="6" max="6"/>
    <col width="5.375" customWidth="1" style="1016" min="7" max="7"/>
    <col width="9" customWidth="1" style="1016" min="8" max="9"/>
    <col width="9" customWidth="1" style="1016" min="10" max="16384"/>
  </cols>
  <sheetData>
    <row r="1" ht="19.5" customHeight="1" s="683">
      <c r="A1" s="1042" t="inlineStr">
        <is>
          <t>應受尿液採驗人尿液檢體採集送驗記錄 （第一聯：由採尿處所存查）</t>
        </is>
      </c>
      <c r="B1" s="1043" t="n"/>
      <c r="C1" s="1043" t="n"/>
      <c r="D1" s="1043" t="n"/>
      <c r="E1" s="1043" t="n"/>
      <c r="F1" s="1043" t="n"/>
    </row>
    <row r="2" ht="27" customHeight="1" s="683">
      <c r="A2" s="1022" t="inlineStr">
        <is>
          <t>檢體編號</t>
        </is>
      </c>
      <c r="B2" s="1022" t="n"/>
      <c r="C2" s="1022" t="inlineStr">
        <is>
          <t>採尿日時</t>
        </is>
      </c>
      <c r="D2" s="1022">
        <f>下拉用!$J$6</f>
        <v/>
      </c>
      <c r="E2" s="1020" t="n"/>
      <c r="F2" s="1022" t="inlineStr">
        <is>
          <t>採尿人員</t>
        </is>
      </c>
      <c r="G2" s="1031" t="inlineStr">
        <is>
          <t>第一聯：由採尿處所存查</t>
        </is>
      </c>
    </row>
    <row r="3" ht="27" customHeight="1" s="683">
      <c r="A3" s="1022" t="inlineStr">
        <is>
          <t>所轄分局</t>
        </is>
      </c>
      <c r="B3" s="1040">
        <f>CONCATENATE(輸入!$S$18,輸入!$T$18,輸入!$S$19,輸入!$T$19)</f>
        <v/>
      </c>
      <c r="C3" s="1022" t="inlineStr">
        <is>
          <t>採尿人員記載事項</t>
        </is>
      </c>
      <c r="D3" s="1040" t="inlineStr">
        <is>
          <t>應受尿液採驗人於前三日內曾否服用藥物？
□否
□是
檢體重要特殊跡象：
□無
□有</t>
        </is>
      </c>
      <c r="E3" s="1035" t="n"/>
      <c r="F3" s="1034" t="n"/>
      <c r="G3" s="1030" t="n"/>
    </row>
    <row r="4" ht="27" customHeight="1" s="683">
      <c r="A4" s="1022" t="inlineStr">
        <is>
          <t>送驗機關</t>
        </is>
      </c>
      <c r="B4" s="1040">
        <f>CONCATENATE(輸入!$S$18,輸入!$T$18,輸入!$S$19,輸入!$T$19)</f>
        <v/>
      </c>
      <c r="C4" s="1023" t="n"/>
      <c r="D4" s="1030" t="n"/>
      <c r="E4" s="1036" t="n"/>
      <c r="F4" s="1023" t="n"/>
      <c r="G4" s="1030" t="n"/>
    </row>
    <row r="5" ht="45.95" customHeight="1" s="683">
      <c r="A5" s="1022" t="inlineStr">
        <is>
          <t>地址</t>
        </is>
      </c>
      <c r="B5" s="1040">
        <f>輸入!$S$23</f>
        <v/>
      </c>
      <c r="C5" s="1023" t="n"/>
      <c r="D5" s="1030" t="n"/>
      <c r="E5" s="1036" t="n"/>
      <c r="F5" s="1023" t="n"/>
      <c r="G5" s="1030" t="n"/>
    </row>
    <row r="6" ht="27" customHeight="1" s="683">
      <c r="A6" s="1022" t="inlineStr">
        <is>
          <t>電話</t>
        </is>
      </c>
      <c r="B6" s="1022">
        <f>輸入!$T$21</f>
        <v/>
      </c>
      <c r="C6" s="1023" t="n"/>
      <c r="D6" s="1030" t="n"/>
      <c r="E6" s="1036" t="n"/>
      <c r="F6" s="1023" t="n"/>
      <c r="G6" s="1030" t="n"/>
    </row>
    <row r="7" ht="14.1" customHeight="1" s="683">
      <c r="A7" s="1022" t="inlineStr">
        <is>
          <t>應受尿液採驗
人姓名</t>
        </is>
      </c>
      <c r="B7" s="1034">
        <f>word用!$H$2</f>
        <v/>
      </c>
      <c r="C7" s="1024" t="n"/>
      <c r="D7" s="1037" t="n"/>
      <c r="E7" s="1038" t="n"/>
      <c r="F7" s="1024" t="n"/>
      <c r="G7" s="1030" t="n"/>
    </row>
    <row r="8" ht="33.95" customHeight="1" s="683">
      <c r="A8" s="1024" t="n"/>
      <c r="B8" s="1024" t="n"/>
      <c r="C8" s="1022" t="inlineStr">
        <is>
          <t>應受尿液採驗人</t>
        </is>
      </c>
      <c r="D8" s="1040" t="inlineStr">
        <is>
          <t>應受尿液採驗人
簽名</t>
        </is>
      </c>
      <c r="E8" s="1041" t="inlineStr">
        <is>
          <t>應受尿液採驗
人左拇指紋印</t>
        </is>
      </c>
      <c r="F8" s="1035" t="n"/>
      <c r="G8" s="1030" t="n"/>
    </row>
    <row r="9" ht="13.35" customHeight="1" s="683">
      <c r="A9" s="1022" t="inlineStr">
        <is>
          <t>身分證
統一編號</t>
        </is>
      </c>
      <c r="B9" s="1034">
        <f>UPPER(VLOOKUP($B$7,個資,2,FALSE))</f>
        <v/>
      </c>
      <c r="C9" s="1023" t="n"/>
      <c r="D9" s="1024" t="n"/>
      <c r="E9" s="1037" t="n"/>
      <c r="F9" s="1038" t="n"/>
      <c r="G9" s="1030" t="n"/>
    </row>
    <row r="10" ht="33.95" customHeight="1" s="683">
      <c r="A10" s="1024" t="n"/>
      <c r="B10" s="1024" t="n"/>
      <c r="C10" s="1023" t="n"/>
      <c r="D10" s="1032" t="n"/>
      <c r="E10" s="1032" t="n"/>
      <c r="F10" s="1035" t="n"/>
      <c r="G10" s="1030" t="n"/>
    </row>
    <row r="11" ht="53.25" customHeight="1" s="683">
      <c r="A11" s="1022" t="inlineStr">
        <is>
          <t>地址</t>
        </is>
      </c>
      <c r="B11" s="1022">
        <f>VLOOKUP($B$7,個資,6,FALSE)</f>
        <v/>
      </c>
      <c r="C11" s="1023" t="n"/>
      <c r="D11" s="1023" t="n"/>
      <c r="E11" s="1030" t="n"/>
      <c r="F11" s="1036" t="n"/>
      <c r="G11" s="1030" t="n"/>
    </row>
    <row r="12" ht="27" customHeight="1" s="683">
      <c r="A12" s="1022" t="inlineStr">
        <is>
          <t>電話</t>
        </is>
      </c>
      <c r="B12" s="433">
        <f>CONCATENATE("0",VLOOKUP($B$7,個資,4,FALSE))</f>
        <v/>
      </c>
      <c r="C12" s="1024" t="n"/>
      <c r="D12" s="1024" t="n"/>
      <c r="E12" s="1037" t="n"/>
      <c r="F12" s="1038" t="n"/>
      <c r="G12" s="1030" t="n"/>
    </row>
    <row r="13" ht="27" customHeight="1" s="683">
      <c r="A13" s="1022" t="inlineStr">
        <is>
          <t>送驗日期</t>
        </is>
      </c>
      <c r="B13" s="189" t="inlineStr">
        <is>
          <t>年     月     日</t>
        </is>
      </c>
      <c r="C13" s="1022" t="inlineStr">
        <is>
          <t>送驗人員</t>
        </is>
      </c>
      <c r="D13" s="1018" t="n"/>
      <c r="E13" s="1019" t="n"/>
      <c r="F13" s="1020" t="n"/>
      <c r="G13" s="1030" t="n"/>
    </row>
    <row r="14" ht="28.5" customHeight="1" s="683">
      <c r="A14" s="1026" t="inlineStr">
        <is>
          <t>………………………………………………………………………………………………………………………………………………………………………………………………………………………</t>
        </is>
      </c>
    </row>
    <row r="15" ht="19.5" customHeight="1" s="683">
      <c r="A15" s="1025" t="inlineStr">
        <is>
          <t>應受尿液採驗人尿液檢體採集送驗記錄（第二聯：經檢驗機構簽收，待檢驗完成連同檢驗報告送回送驗機關）</t>
        </is>
      </c>
    </row>
    <row r="16" ht="27" customHeight="1" s="683">
      <c r="A16" s="1028" t="inlineStr">
        <is>
          <t>檢體編號</t>
        </is>
      </c>
      <c r="B16" s="187" t="n"/>
      <c r="C16" s="187" t="inlineStr">
        <is>
          <t>採尿日時</t>
        </is>
      </c>
      <c r="D16" s="1028">
        <f>下拉用!$J$6</f>
        <v/>
      </c>
      <c r="E16" s="576" t="n"/>
      <c r="F16" s="1028" t="inlineStr">
        <is>
          <t>採尿人員</t>
        </is>
      </c>
      <c r="G16" s="1029" t="inlineStr">
        <is>
          <t>第
二
聯
：
連 經
同 檢
檢 驗
驗 機
報 構
告 簽
送 收
回 ，
送 待
驗 檢
機 驗
關 完
成</t>
        </is>
      </c>
    </row>
    <row r="17" ht="27" customHeight="1" s="683">
      <c r="A17" s="1028" t="inlineStr">
        <is>
          <t>所轄分局</t>
        </is>
      </c>
      <c r="B17" s="183">
        <f>CONCATENATE(輸入!$S$18,輸入!$T$18,輸入!$S$19,輸入!$T$19)</f>
        <v/>
      </c>
      <c r="C17" s="1039" t="inlineStr">
        <is>
          <t>採尿人員記載事項</t>
        </is>
      </c>
      <c r="D17" s="1017" t="inlineStr">
        <is>
          <t>應受尿液採驗人於前三日內曾否服用藥物？
□否
□是
檢體重要特殊跡象：
□無
□有</t>
        </is>
      </c>
      <c r="E17" s="583" t="n"/>
      <c r="F17" s="1027" t="n"/>
      <c r="G17" s="1030" t="n"/>
    </row>
    <row r="18" ht="27" customHeight="1" s="683">
      <c r="A18" s="1028" t="inlineStr">
        <is>
          <t>送驗機關</t>
        </is>
      </c>
      <c r="B18" s="183">
        <f>CONCATENATE(輸入!$S$18,輸入!$T$18,輸入!$S$19,輸入!$T$19)</f>
        <v/>
      </c>
      <c r="C18" s="945" t="n"/>
      <c r="D18" s="607" t="n"/>
      <c r="E18" s="609" t="n"/>
      <c r="F18" s="945" t="n"/>
      <c r="G18" s="1030" t="n"/>
    </row>
    <row r="19" ht="60" customHeight="1" s="683">
      <c r="A19" s="1028" t="inlineStr">
        <is>
          <t>地址</t>
        </is>
      </c>
      <c r="B19" s="183">
        <f>輸入!$S$23</f>
        <v/>
      </c>
      <c r="C19" s="945" t="n"/>
      <c r="D19" s="607" t="n"/>
      <c r="E19" s="609" t="n"/>
      <c r="F19" s="945" t="n"/>
      <c r="G19" s="1030" t="n"/>
    </row>
    <row r="20" ht="27" customHeight="1" s="683">
      <c r="A20" s="1028" t="inlineStr">
        <is>
          <t>電話</t>
        </is>
      </c>
      <c r="B20" s="187">
        <f>輸入!$T$21</f>
        <v/>
      </c>
      <c r="C20" s="588" t="n"/>
      <c r="D20" s="584" t="n"/>
      <c r="E20" s="586" t="n"/>
      <c r="F20" s="588" t="n"/>
      <c r="G20" s="1030" t="n"/>
    </row>
    <row r="21" ht="81.75" customHeight="1" s="683">
      <c r="A21" s="1033" t="inlineStr">
        <is>
          <t>送請檢驗項目:
□鴉片類藥物
□安非他命類藥物
□其他</t>
        </is>
      </c>
      <c r="B21" s="186" t="inlineStr">
        <is>
          <t>檢驗機構名稱：</t>
        </is>
      </c>
      <c r="C21" s="1015" t="inlineStr">
        <is>
          <t xml:space="preserve">檢驗結果：□安非他命類藥物
            □安非他命    □陽性□未檢出
            □甲基安非他命□陽性□未檢出
          □鴉片類藥物
            □嗎啡        □陽性□未檢出
            □可待因      □陽性□未檢出
          □其他                   </t>
        </is>
      </c>
      <c r="D21" s="582" t="n"/>
      <c r="E21" s="582" t="n"/>
      <c r="F21" s="186" t="inlineStr">
        <is>
          <t>應受尿液採驗人左拇指紋印</t>
        </is>
      </c>
      <c r="G21" s="1030" t="n"/>
    </row>
    <row r="22" ht="60" customHeight="1" s="683">
      <c r="A22" s="588" t="n"/>
      <c r="B22" s="186" t="inlineStr">
        <is>
          <t>收件人：</t>
        </is>
      </c>
      <c r="F22" s="185" t="n"/>
      <c r="G22" s="1030" t="n"/>
    </row>
    <row r="23" ht="27" customHeight="1" s="683">
      <c r="A23" s="1033" t="inlineStr">
        <is>
          <t>送驗日期</t>
        </is>
      </c>
      <c r="B23" s="1021" t="inlineStr">
        <is>
          <t>年     月     日</t>
        </is>
      </c>
      <c r="C23" s="1028" t="inlineStr">
        <is>
          <t>送驗人員</t>
        </is>
      </c>
      <c r="D23" s="1021" t="n"/>
      <c r="E23" s="579" t="n"/>
      <c r="F23" s="576" t="n"/>
      <c r="G23" s="1030" t="n"/>
    </row>
    <row r="24" ht="27" customHeight="1" s="683">
      <c r="A24" s="188" t="n"/>
      <c r="B24" s="188" t="n"/>
      <c r="C24" s="188" t="n"/>
      <c r="D24" s="183" t="inlineStr">
        <is>
          <t>請貼條碼</t>
        </is>
      </c>
      <c r="E24" s="1021" t="n"/>
      <c r="F24" s="576" t="n"/>
      <c r="G24" s="1030" t="n"/>
    </row>
    <row r="25" ht="28.5" customHeight="1" s="683">
      <c r="A25" s="1026" t="inlineStr">
        <is>
          <t>………………………………………………………………………………………………………………………………………………………………………………………………………………………</t>
        </is>
      </c>
    </row>
    <row r="26" ht="19.5" customHeight="1" s="683">
      <c r="A26" s="1025" t="inlineStr">
        <is>
          <t>應受尿液採驗人尿液檢體採集送驗記錄（第三聯：連同尿液檢體送交檢驗機關）</t>
        </is>
      </c>
    </row>
    <row r="27" ht="27" customHeight="1" s="683">
      <c r="A27" s="1028" t="inlineStr">
        <is>
          <t>檢體編號</t>
        </is>
      </c>
      <c r="B27" s="187" t="n"/>
      <c r="C27" s="187" t="inlineStr">
        <is>
          <t>採尿日時</t>
        </is>
      </c>
      <c r="D27" s="1028">
        <f>下拉用!$J$6</f>
        <v/>
      </c>
      <c r="E27" s="576" t="n"/>
      <c r="F27" s="1028" t="inlineStr">
        <is>
          <t>採尿人員</t>
        </is>
      </c>
      <c r="G27" s="1031" t="inlineStr">
        <is>
          <t>第三聯：連同尿液檢體送交檢驗機關</t>
        </is>
      </c>
    </row>
    <row r="28" ht="27" customHeight="1" s="683">
      <c r="A28" s="1028" t="inlineStr">
        <is>
          <t>所轄分局</t>
        </is>
      </c>
      <c r="B28" s="183">
        <f>CONCATENATE(輸入!$S$18,輸入!$T$18,輸入!$S$19,輸入!$T$19)</f>
        <v/>
      </c>
      <c r="C28" s="1039" t="inlineStr">
        <is>
          <t>採尿人員記載事項</t>
        </is>
      </c>
      <c r="D28" s="1017" t="inlineStr">
        <is>
          <t>應受尿液採驗人於前三日內曾否服用藥物？
□否
□是
檢體重要特殊跡象：
□無
□有</t>
        </is>
      </c>
      <c r="E28" s="583" t="n"/>
      <c r="F28" s="1027" t="n"/>
      <c r="G28" s="1030" t="n"/>
    </row>
    <row r="29" ht="27" customHeight="1" s="683">
      <c r="A29" s="1028" t="inlineStr">
        <is>
          <t>送驗機關</t>
        </is>
      </c>
      <c r="B29" s="183">
        <f>CONCATENATE(輸入!$S$18,輸入!$T$18,輸入!$S$19,輸入!$T$19)</f>
        <v/>
      </c>
      <c r="C29" s="945" t="n"/>
      <c r="D29" s="607" t="n"/>
      <c r="E29" s="609" t="n"/>
      <c r="F29" s="945" t="n"/>
      <c r="G29" s="1030" t="n"/>
    </row>
    <row r="30" ht="60" customHeight="1" s="683">
      <c r="A30" s="1028" t="inlineStr">
        <is>
          <t>地址</t>
        </is>
      </c>
      <c r="B30" s="183">
        <f>輸入!$S$23</f>
        <v/>
      </c>
      <c r="C30" s="945" t="n"/>
      <c r="D30" s="607" t="n"/>
      <c r="E30" s="609" t="n"/>
      <c r="F30" s="945" t="n"/>
      <c r="G30" s="1030" t="n"/>
    </row>
    <row r="31" ht="27" customHeight="1" s="683">
      <c r="A31" s="1028" t="inlineStr">
        <is>
          <t>電話</t>
        </is>
      </c>
      <c r="B31" s="187">
        <f>輸入!$T$21</f>
        <v/>
      </c>
      <c r="C31" s="588" t="n"/>
      <c r="D31" s="584" t="n"/>
      <c r="E31" s="586" t="n"/>
      <c r="F31" s="588" t="n"/>
      <c r="G31" s="1030" t="n"/>
    </row>
    <row r="32" ht="81.75" customHeight="1" s="683">
      <c r="A32" s="1033" t="inlineStr">
        <is>
          <t>送請檢驗項目:
□鴉片類藥物
□安非他命類藥物
□其他</t>
        </is>
      </c>
      <c r="B32" s="186" t="inlineStr">
        <is>
          <t>檢驗機構名稱：</t>
        </is>
      </c>
      <c r="C32" s="1015" t="inlineStr">
        <is>
          <t xml:space="preserve">檢驗結果：□安非他命類藥物
            □安非他命    □陽性□未檢出
            □甲基安非他命□陽性□未檢出
          □鴉片類藥物
            □嗎啡        □陽性□未檢出
            □可待因      □陽性□未檢出
          □其他                   </t>
        </is>
      </c>
      <c r="D32" s="582" t="n"/>
      <c r="E32" s="582" t="n"/>
      <c r="F32" s="186" t="inlineStr">
        <is>
          <t>應受尿液採驗人左拇指紋印</t>
        </is>
      </c>
      <c r="G32" s="1030" t="n"/>
    </row>
    <row r="33" ht="60" customHeight="1" s="683">
      <c r="A33" s="588" t="n"/>
      <c r="B33" s="186" t="inlineStr">
        <is>
          <t>收件人：</t>
        </is>
      </c>
      <c r="F33" s="185" t="n"/>
      <c r="G33" s="1030" t="n"/>
    </row>
    <row r="34" ht="27" customHeight="1" s="683">
      <c r="A34" s="459" t="inlineStr">
        <is>
          <t>送驗日期</t>
        </is>
      </c>
      <c r="B34" s="460" t="inlineStr">
        <is>
          <t>年     月     日</t>
        </is>
      </c>
      <c r="C34" s="458" t="inlineStr">
        <is>
          <t>送驗人員</t>
        </is>
      </c>
      <c r="D34" s="1021" t="n"/>
      <c r="E34" s="579" t="n"/>
      <c r="F34" s="576" t="n"/>
      <c r="G34" s="1030" t="n"/>
    </row>
    <row r="35" ht="27" customHeight="1" s="683">
      <c r="A35" s="184" t="n"/>
      <c r="B35" s="184" t="n"/>
      <c r="C35" s="184" t="n"/>
      <c r="D35" s="183" t="inlineStr">
        <is>
          <t>請貼條碼</t>
        </is>
      </c>
      <c r="E35" s="1021" t="n"/>
      <c r="F35" s="576" t="n"/>
      <c r="G35" s="1030" t="n"/>
    </row>
  </sheetData>
  <mergeCells count="38">
    <mergeCell ref="C32:E33"/>
    <mergeCell ref="D17:E20"/>
    <mergeCell ref="D13:F13"/>
    <mergeCell ref="E24:F24"/>
    <mergeCell ref="C8:C12"/>
    <mergeCell ref="A7:A8"/>
    <mergeCell ref="A26:F26"/>
    <mergeCell ref="D28:E31"/>
    <mergeCell ref="E35:F35"/>
    <mergeCell ref="D2:E2"/>
    <mergeCell ref="A14:F14"/>
    <mergeCell ref="F17:F20"/>
    <mergeCell ref="D27:E27"/>
    <mergeCell ref="C3:C7"/>
    <mergeCell ref="G16:G24"/>
    <mergeCell ref="G2:G13"/>
    <mergeCell ref="D10:D12"/>
    <mergeCell ref="A21:A22"/>
    <mergeCell ref="A32:A33"/>
    <mergeCell ref="D16:E16"/>
    <mergeCell ref="B9:B10"/>
    <mergeCell ref="E10:F12"/>
    <mergeCell ref="D23:F23"/>
    <mergeCell ref="C17:C20"/>
    <mergeCell ref="D8:D9"/>
    <mergeCell ref="E8:F9"/>
    <mergeCell ref="F3:F7"/>
    <mergeCell ref="C21:E22"/>
    <mergeCell ref="A15:F15"/>
    <mergeCell ref="G27:G35"/>
    <mergeCell ref="D34:F34"/>
    <mergeCell ref="C28:C31"/>
    <mergeCell ref="D3:E7"/>
    <mergeCell ref="F28:F31"/>
    <mergeCell ref="A9:A10"/>
    <mergeCell ref="A1:F1"/>
    <mergeCell ref="B7:B8"/>
    <mergeCell ref="A25:F25"/>
  </mergeCells>
  <printOptions horizontalCentered="1"/>
  <pageMargins left="0.1181102362204725" right="0.2362204724409449" top="0.7480314960629921" bottom="0.7480314960629921" header="0.3149606299212598" footer="0.3149606299212598"/>
  <pageSetup orientation="portrait" paperSize="9" scale="64"/>
</worksheet>
</file>

<file path=xl/worksheets/sheet37.xml><?xml version="1.0" encoding="utf-8"?>
<worksheet xmlns="http://schemas.openxmlformats.org/spreadsheetml/2006/main">
  <sheetPr codeName="工作表31">
    <tabColor theme="9"/>
    <outlinePr summaryBelow="1" summaryRight="1"/>
    <pageSetUpPr/>
  </sheetPr>
  <dimension ref="A1:D27"/>
  <sheetViews>
    <sheetView view="pageBreakPreview" zoomScale="115" zoomScaleNormal="100" zoomScaleSheetLayoutView="115" workbookViewId="0">
      <selection activeCell="B5" sqref="B5:D5"/>
    </sheetView>
  </sheetViews>
  <sheetFormatPr baseColWidth="8" defaultRowHeight="16.5"/>
  <cols>
    <col width="16.25" customWidth="1" style="683" min="1" max="1"/>
    <col width="7.75" customWidth="1" style="683" min="2" max="2"/>
    <col width="3.875" customWidth="1" style="683" min="3" max="3"/>
    <col width="59.375" customWidth="1" style="683" min="4" max="4"/>
    <col width="2.75" customWidth="1" style="683" min="5" max="54"/>
  </cols>
  <sheetData>
    <row r="1" ht="24" customHeight="1" s="683">
      <c r="A1" s="1054">
        <f>CONCATENATE(輸入!$S$18,輸入!$T$18)</f>
        <v/>
      </c>
      <c r="B1" s="734" t="n"/>
      <c r="C1" s="1066" t="inlineStr">
        <is>
          <t>查獲初犯涉毒少年即時實施關懷工作紀錄表</t>
        </is>
      </c>
      <c r="D1" s="734" t="n"/>
    </row>
    <row r="2" ht="24" customHeight="1" s="683" thickBot="1">
      <c r="A2" s="1060">
        <f>CONCATENATE(輸入!$S$19,輸入!$T$19)</f>
        <v/>
      </c>
      <c r="B2" s="669" t="n"/>
      <c r="C2" s="669" t="n"/>
      <c r="D2" s="669" t="n"/>
    </row>
    <row r="3" ht="52.5" customHeight="1" s="683" thickBot="1">
      <c r="A3" s="225" t="inlineStr">
        <is>
          <t>少年姓名</t>
        </is>
      </c>
      <c r="B3" s="1049">
        <f>word用!$H$2</f>
        <v/>
      </c>
      <c r="C3" s="802" t="n"/>
      <c r="D3" s="224" t="inlineStr">
        <is>
          <t>□ 毒品初犯□再犯</t>
        </is>
      </c>
    </row>
    <row r="4" ht="52.5" customHeight="1" s="683" thickBot="1">
      <c r="A4" s="223" t="inlineStr">
        <is>
          <t>查獲時間</t>
        </is>
      </c>
      <c r="B4" s="1047">
        <f>下拉用!$J$5</f>
        <v/>
      </c>
      <c r="C4" s="802" t="n"/>
      <c r="D4" s="1048" t="n"/>
    </row>
    <row r="5" ht="52.5" customHeight="1" s="683" thickBot="1">
      <c r="A5" s="222" t="inlineStr">
        <is>
          <t>查獲地點</t>
        </is>
      </c>
      <c r="B5" s="1047">
        <f>輸入!$C$7</f>
        <v/>
      </c>
      <c r="C5" s="802" t="n"/>
      <c r="D5" s="1048" t="n"/>
    </row>
    <row r="6" ht="52.5" customHeight="1" s="683" thickBot="1">
      <c r="A6" s="222" t="inlineStr">
        <is>
          <t>毒品種類</t>
        </is>
      </c>
      <c r="B6" s="1047">
        <f>輸入!$H$7</f>
        <v/>
      </c>
      <c r="C6" s="802" t="n"/>
      <c r="D6" s="1048" t="n"/>
    </row>
    <row r="7" ht="52.5" customHeight="1" s="683" thickBot="1">
      <c r="A7" s="221" t="inlineStr">
        <is>
          <t>毒品等級</t>
        </is>
      </c>
      <c r="B7" s="1062">
        <f t="array" ref="B7">_xlfn.IFS(輸入!H7=下拉用!F2,"一級",輸入!H7=下拉用!F3,"二級",輸入!H7=下拉用!F4,"三級",輸入!H7=下拉用!F5,"四級")</f>
        <v/>
      </c>
      <c r="C7" s="1063" t="n"/>
      <c r="D7" s="1064" t="n"/>
    </row>
    <row r="8" ht="52.5" customHeight="1" s="683" thickBot="1">
      <c r="A8" s="461" t="inlineStr">
        <is>
          <t>實施關懷時間</t>
        </is>
      </c>
      <c r="B8" s="1050" t="inlineStr">
        <is>
          <t xml:space="preserve">   年   月   日   時   分</t>
        </is>
      </c>
      <c r="C8" s="1051" t="n"/>
      <c r="D8" s="1052" t="n"/>
    </row>
    <row r="9" ht="25.5" customHeight="1" s="683">
      <c r="A9" s="1056" t="inlineStr">
        <is>
          <t>被關懷人/
與少年關係</t>
        </is>
      </c>
      <c r="B9" s="1061" t="n"/>
      <c r="C9" s="734" t="n"/>
      <c r="D9" s="843" t="n"/>
    </row>
    <row r="10" ht="25.5" customHeight="1" s="683" thickBot="1">
      <c r="A10" s="1057" t="n"/>
      <c r="B10" s="844" t="n"/>
      <c r="C10" s="669" t="n"/>
      <c r="D10" s="670" t="n"/>
    </row>
    <row r="11" ht="25.5" customHeight="1" s="683">
      <c r="A11" s="1056" t="inlineStr">
        <is>
          <t>連絡電話/
電子郵件</t>
        </is>
      </c>
      <c r="B11" s="1061" t="n"/>
      <c r="C11" s="734" t="n"/>
      <c r="D11" s="843" t="n"/>
    </row>
    <row r="12" ht="25.5" customHeight="1" s="683" thickBot="1">
      <c r="A12" s="1057" t="n"/>
      <c r="B12" s="844" t="n"/>
      <c r="C12" s="669" t="n"/>
      <c r="D12" s="670" t="n"/>
    </row>
    <row r="13" ht="52.5" customHeight="1" s="683" thickBot="1">
      <c r="A13" s="461" t="inlineStr">
        <is>
          <t>查獲單位</t>
        </is>
      </c>
      <c r="B13" s="1047">
        <f>CONCATENATE(輸入!$S$18,輸入!$T$18,輸入!$S$19,輸入!$T$19,輸入!$S$20,輸入!$T$20)</f>
        <v/>
      </c>
      <c r="C13" s="802" t="n"/>
      <c r="D13" s="1048" t="n"/>
    </row>
    <row r="14" ht="52.5" customHeight="1" s="683" thickBot="1">
      <c r="A14" s="461" t="inlineStr">
        <is>
          <t>承辦人員</t>
        </is>
      </c>
      <c r="B14" s="1047">
        <f>CONCATENATE(輸入!$T$24," ",輸入!$O$8)</f>
        <v/>
      </c>
      <c r="C14" s="802" t="n"/>
      <c r="D14" s="1048" t="n"/>
    </row>
    <row r="15" ht="23.25" customHeight="1" s="683">
      <c r="A15" s="1056" t="inlineStr">
        <is>
          <t>關懷服務內容</t>
        </is>
      </c>
      <c r="B15" s="1058" t="inlineStr">
        <is>
          <t>□ 說明司法流程</t>
        </is>
      </c>
      <c r="C15" s="734" t="n"/>
      <c r="D15" s="837" t="n"/>
    </row>
    <row r="16" ht="23.25" customHeight="1" s="683">
      <c r="A16" s="1045" t="n"/>
      <c r="B16" s="1055" t="inlineStr">
        <is>
          <t>□ 提供教育部編列之家長親職手冊</t>
        </is>
      </c>
      <c r="D16" s="668" t="n"/>
    </row>
    <row r="17" ht="23.25" customHeight="1" s="683" thickBot="1">
      <c r="A17" s="1057" t="n"/>
      <c r="B17" s="1053" t="inlineStr">
        <is>
          <t>□ 少年輔導委員會或毒品危害防制中心等相關資源</t>
        </is>
      </c>
      <c r="C17" s="771" t="n"/>
      <c r="D17" s="825" t="n"/>
    </row>
    <row r="18" ht="23.25" customHeight="1" s="683">
      <c r="A18" s="1044" t="inlineStr">
        <is>
          <t>關懷服務方式</t>
        </is>
      </c>
      <c r="B18" s="1058" t="inlineStr">
        <is>
          <t>□ 簡訊關懷</t>
        </is>
      </c>
      <c r="C18" s="734" t="n"/>
      <c r="D18" s="837" t="n"/>
    </row>
    <row r="19" ht="23.25" customHeight="1" s="683">
      <c r="A19" s="1045" t="n"/>
      <c r="B19" s="1055" t="inlineStr">
        <is>
          <t>□ 電子郵件關懷</t>
        </is>
      </c>
      <c r="D19" s="668" t="n"/>
    </row>
    <row r="20" ht="23.25" customHeight="1" s="683">
      <c r="A20" s="1045" t="n"/>
      <c r="B20" s="1059" t="inlineStr">
        <is>
          <t>□ 親自關懷</t>
        </is>
      </c>
      <c r="D20" s="668" t="n"/>
    </row>
    <row r="21" ht="23.25" customHeight="1" s="683">
      <c r="A21" s="1045" t="n"/>
      <c r="B21" s="1055" t="inlineStr">
        <is>
          <t>□ 電話關懷</t>
        </is>
      </c>
      <c r="D21" s="668" t="n"/>
    </row>
    <row r="22" ht="23.25" customHeight="1" s="683" thickBot="1">
      <c r="A22" s="1046" t="n"/>
      <c r="B22" s="1065" t="inlineStr">
        <is>
          <t>□ 其他方式關懷</t>
        </is>
      </c>
      <c r="C22" s="851" t="n"/>
      <c r="D22" s="852" t="n"/>
    </row>
    <row r="23" ht="17.25" customHeight="1" s="683" thickTop="1">
      <c r="A23" s="111" t="n"/>
      <c r="B23" s="111" t="n"/>
      <c r="C23" s="111" t="n"/>
      <c r="D23" s="111" t="n"/>
    </row>
    <row r="24">
      <c r="A24" s="220" t="n"/>
      <c r="B24" s="220" t="n"/>
      <c r="C24" s="220" t="n"/>
    </row>
    <row r="25">
      <c r="A25" s="219" t="inlineStr">
        <is>
          <t>藥物濫用青少年親職手冊網址：http://enc.moe.edu.tw/UploadFile/eBook/20160819134838052559/index.html#p=1</t>
        </is>
      </c>
      <c r="B25" s="219" t="n"/>
      <c r="C25" s="219" t="n"/>
    </row>
    <row r="26">
      <c r="A26" s="219" t="n"/>
      <c r="B26" s="219" t="n"/>
      <c r="C26" s="219" t="n"/>
    </row>
    <row r="27">
      <c r="A27" s="218" t="n"/>
      <c r="B27" s="218" t="n"/>
      <c r="C27" s="218" t="n"/>
    </row>
  </sheetData>
  <mergeCells count="25">
    <mergeCell ref="A18:A22"/>
    <mergeCell ref="B14:D14"/>
    <mergeCell ref="B3:C3"/>
    <mergeCell ref="B8:D8"/>
    <mergeCell ref="B17:D17"/>
    <mergeCell ref="B13:D13"/>
    <mergeCell ref="A1:B1"/>
    <mergeCell ref="B19:D19"/>
    <mergeCell ref="A15:A17"/>
    <mergeCell ref="B15:D15"/>
    <mergeCell ref="B6:D6"/>
    <mergeCell ref="B20:D20"/>
    <mergeCell ref="A2:B2"/>
    <mergeCell ref="B5:D5"/>
    <mergeCell ref="B11:D12"/>
    <mergeCell ref="B4:D4"/>
    <mergeCell ref="B7:D7"/>
    <mergeCell ref="B16:D16"/>
    <mergeCell ref="A9:A10"/>
    <mergeCell ref="B22:D22"/>
    <mergeCell ref="C1:D2"/>
    <mergeCell ref="B18:D18"/>
    <mergeCell ref="B9:D10"/>
    <mergeCell ref="B21:D21"/>
    <mergeCell ref="A11:A12"/>
  </mergeCells>
  <hyperlinks>
    <hyperlink xmlns:r="http://schemas.openxmlformats.org/officeDocument/2006/relationships" ref="A25" location="p=1" display="p=1" r:id="rId1"/>
  </hyperlinks>
  <pageMargins left="0.7" right="0.7" top="0.75" bottom="0.75" header="0.3" footer="0.3"/>
  <pageSetup orientation="portrait" paperSize="9" scale="94"/>
</worksheet>
</file>

<file path=xl/worksheets/sheet38.xml><?xml version="1.0" encoding="utf-8"?>
<worksheet xmlns="http://schemas.openxmlformats.org/spreadsheetml/2006/main">
  <sheetPr codeName="工作表44">
    <tabColor theme="9"/>
    <outlinePr summaryBelow="1" summaryRight="1"/>
    <pageSetUpPr/>
  </sheetPr>
  <dimension ref="A1:I24"/>
  <sheetViews>
    <sheetView showGridLines="0" view="pageLayout" topLeftCell="A10" zoomScaleNormal="100" workbookViewId="0">
      <selection activeCell="C8" sqref="C8:I8"/>
    </sheetView>
  </sheetViews>
  <sheetFormatPr baseColWidth="8" defaultRowHeight="16.5"/>
  <cols>
    <col width="6.5" customWidth="1" style="683" min="1" max="1"/>
    <col width="5.125" customWidth="1" style="683" min="2" max="2"/>
    <col width="29.25" customWidth="1" style="683" min="3" max="3"/>
    <col width="4.875" customWidth="1" style="683" min="4" max="4"/>
    <col width="11.625" customWidth="1" style="683" min="5" max="5"/>
    <col width="8.125" customWidth="1" style="683" min="6" max="6"/>
    <col width="4.25" customWidth="1" style="683" min="7" max="7"/>
    <col width="12" customWidth="1" style="683" min="8" max="8"/>
    <col width="14.5" customWidth="1" style="683" min="9" max="9"/>
  </cols>
  <sheetData>
    <row r="1" ht="36" customHeight="1" s="683" thickTop="1">
      <c r="A1" s="1090">
        <f>CONCATENATE(輸入!$S$18,輸入!$T$18)</f>
        <v/>
      </c>
      <c r="B1" s="831" t="n"/>
      <c r="C1" s="831" t="n"/>
      <c r="D1" s="1078">
        <f>CONCATENATE(輸入!$S$20,輸入!$T$20,"查訪紀錄表(電話訪查)")</f>
        <v/>
      </c>
      <c r="E1" s="831" t="n"/>
      <c r="F1" s="831" t="n"/>
      <c r="G1" s="831" t="n"/>
      <c r="H1" s="831" t="n"/>
      <c r="I1" s="1079" t="n"/>
    </row>
    <row r="2" ht="36" customHeight="1" s="683" thickBot="1">
      <c r="A2" s="1074">
        <f>CONCATENATE(輸入!$S$19,輸入!$T$19)</f>
        <v/>
      </c>
      <c r="B2" s="669" t="n"/>
      <c r="C2" s="669" t="n"/>
      <c r="D2" s="669" t="n"/>
      <c r="E2" s="669" t="n"/>
      <c r="F2" s="669" t="n"/>
      <c r="G2" s="669" t="n"/>
      <c r="H2" s="669" t="n"/>
      <c r="I2" s="670" t="n"/>
    </row>
    <row r="3" ht="39" customHeight="1" s="683" thickBot="1">
      <c r="A3" s="1082" t="inlineStr">
        <is>
          <t>案由</t>
        </is>
      </c>
      <c r="B3" s="772" t="n"/>
      <c r="C3" s="1080">
        <f>CONCATENATE(,word用!$H$2,"因涉",輸入!$C$2,"，家中兒童是否需要協助案")</f>
        <v/>
      </c>
      <c r="D3" s="771" t="n"/>
      <c r="E3" s="771" t="n"/>
      <c r="F3" s="771" t="n"/>
      <c r="G3" s="771" t="n"/>
      <c r="H3" s="771" t="n"/>
      <c r="I3" s="1081" t="n"/>
    </row>
    <row r="4" ht="27" customHeight="1" s="683" thickBot="1">
      <c r="A4" s="1073" t="inlineStr">
        <is>
          <t>查訪時間</t>
        </is>
      </c>
      <c r="B4" s="803" t="n"/>
      <c r="C4" s="1068" t="inlineStr">
        <is>
          <t xml:space="preserve">   年   月   日   時   分</t>
        </is>
      </c>
      <c r="D4" s="802" t="n"/>
      <c r="E4" s="802" t="n"/>
      <c r="F4" s="802" t="n"/>
      <c r="G4" s="802" t="n"/>
      <c r="H4" s="802" t="n"/>
      <c r="I4" s="1069" t="n"/>
    </row>
    <row r="5" ht="27" customHeight="1" s="683" thickBot="1">
      <c r="A5" s="1073" t="inlineStr">
        <is>
          <t>查訪地點</t>
        </is>
      </c>
      <c r="B5" s="803" t="n"/>
      <c r="C5" s="1068">
        <f>CONCATENATE(輸入!S23,"(電話訪查)")</f>
        <v/>
      </c>
      <c r="D5" s="802" t="n"/>
      <c r="E5" s="802" t="n"/>
      <c r="F5" s="802" t="n"/>
      <c r="G5" s="802" t="n"/>
      <c r="H5" s="802" t="n"/>
      <c r="I5" s="1069" t="n"/>
    </row>
    <row r="6" ht="27" customHeight="1" s="683" thickBot="1">
      <c r="A6" s="1073" t="inlineStr">
        <is>
          <t>受訪人</t>
        </is>
      </c>
      <c r="B6" s="803" t="n"/>
      <c r="C6" s="1067" t="n"/>
      <c r="D6" s="803" t="n"/>
      <c r="E6" s="440" t="inlineStr">
        <is>
          <t>性別</t>
        </is>
      </c>
      <c r="F6" s="1067" t="n"/>
      <c r="G6" s="803" t="n"/>
      <c r="H6" s="440" t="inlineStr">
        <is>
          <t>職業</t>
        </is>
      </c>
      <c r="I6" s="217" t="n"/>
    </row>
    <row r="7" ht="27" customHeight="1" s="683" thickBot="1">
      <c r="A7" s="1073" t="inlineStr">
        <is>
          <t>身分證號</t>
        </is>
      </c>
      <c r="B7" s="803" t="n"/>
      <c r="C7" s="1067" t="n"/>
      <c r="D7" s="803" t="n"/>
      <c r="E7" s="440" t="inlineStr">
        <is>
          <t>出生日期</t>
        </is>
      </c>
      <c r="F7" s="1067" t="n"/>
      <c r="G7" s="803" t="n"/>
      <c r="H7" s="440" t="inlineStr">
        <is>
          <t>連絡電話</t>
        </is>
      </c>
      <c r="I7" s="216" t="n"/>
    </row>
    <row r="8" ht="27" customHeight="1" s="683" thickBot="1">
      <c r="A8" s="1083" t="inlineStr">
        <is>
          <t>住居地</t>
        </is>
      </c>
      <c r="B8" s="1084" t="n"/>
      <c r="C8" s="1070" t="n"/>
      <c r="D8" s="1071" t="n"/>
      <c r="E8" s="1071" t="n"/>
      <c r="F8" s="1071" t="n"/>
      <c r="G8" s="1071" t="n"/>
      <c r="H8" s="1071" t="n"/>
      <c r="I8" s="1072" t="n"/>
    </row>
    <row r="9" ht="49.5" customHeight="1" s="683" thickBot="1" thickTop="1">
      <c r="A9" s="215" t="inlineStr">
        <is>
          <t>問：</t>
        </is>
      </c>
      <c r="B9" s="1087">
        <f>CONCATENATE("請問是",word用!$H$2,"的家人嗎？你好！我這裡是",輸入!$S$19,輸入!$T$19,輸入!$S$20,輸入!$T$20,"，有幾個問題，請你配合訪查。")</f>
        <v/>
      </c>
      <c r="C9" s="1088" t="n"/>
      <c r="D9" s="1088" t="n"/>
      <c r="E9" s="1088" t="n"/>
      <c r="F9" s="1088" t="n"/>
      <c r="G9" s="1088" t="n"/>
      <c r="H9" s="1088" t="n"/>
      <c r="I9" s="1089" t="n"/>
    </row>
    <row r="10" ht="24.75" customHeight="1" s="683" thickBot="1">
      <c r="A10" s="215" t="inlineStr">
        <is>
          <t>答：</t>
        </is>
      </c>
      <c r="B10" s="1068" t="inlineStr">
        <is>
          <t>是的，好。</t>
        </is>
      </c>
      <c r="C10" s="802" t="n"/>
      <c r="D10" s="802" t="n"/>
      <c r="E10" s="802" t="n"/>
      <c r="F10" s="802" t="n"/>
      <c r="G10" s="802" t="n"/>
      <c r="H10" s="802" t="n"/>
      <c r="I10" s="1069" t="n"/>
    </row>
    <row r="11" ht="50.25" customHeight="1" s="683" thickBot="1">
      <c r="A11" s="215" t="inlineStr">
        <is>
          <t>問：</t>
        </is>
      </c>
      <c r="B11" s="1068">
        <f>CONCATENATE("請問犯嫌",word用!$H$2,"本人有無未滿12歲子女？戶籍地或實際居住地有沒有未滿12歲兒童（不管是誰的孩子）？有無受犯嫌照顧或監護之兒童？ ")</f>
        <v/>
      </c>
      <c r="C11" s="802" t="n"/>
      <c r="D11" s="802" t="n"/>
      <c r="E11" s="802" t="n"/>
      <c r="F11" s="802" t="n"/>
      <c r="G11" s="802" t="n"/>
      <c r="H11" s="802" t="n"/>
      <c r="I11" s="1069" t="n"/>
    </row>
    <row r="12" ht="24.75" customHeight="1" s="683" thickBot="1">
      <c r="A12" s="215" t="inlineStr">
        <is>
          <t>答：</t>
        </is>
      </c>
      <c r="B12" s="1068" t="inlineStr">
        <is>
          <t>有，沒有。有</t>
        </is>
      </c>
      <c r="C12" s="802" t="n"/>
      <c r="D12" s="802" t="n"/>
      <c r="E12" s="802" t="n"/>
      <c r="F12" s="802" t="n"/>
      <c r="G12" s="802" t="n"/>
      <c r="H12" s="802" t="n"/>
      <c r="I12" s="1069" t="n"/>
    </row>
    <row r="13" ht="24.75" customHeight="1" s="683" thickBot="1">
      <c r="A13" s="215" t="inlineStr">
        <is>
          <t>問：</t>
        </is>
      </c>
      <c r="B13" s="1068" t="inlineStr">
        <is>
          <t>目前該兒童          是由何人照顧、監護？</t>
        </is>
      </c>
      <c r="C13" s="802" t="n"/>
      <c r="D13" s="802" t="n"/>
      <c r="E13" s="802" t="n"/>
      <c r="F13" s="802" t="n"/>
      <c r="G13" s="802" t="n"/>
      <c r="H13" s="802" t="n"/>
      <c r="I13" s="1069" t="n"/>
    </row>
    <row r="14" ht="24.75" customHeight="1" s="683" thickBot="1">
      <c r="A14" s="215" t="inlineStr">
        <is>
          <t>答：</t>
        </is>
      </c>
      <c r="B14" s="1068" t="inlineStr">
        <is>
          <t>都是我自己照顧。</t>
        </is>
      </c>
      <c r="C14" s="802" t="n"/>
      <c r="D14" s="802" t="n"/>
      <c r="E14" s="802" t="n"/>
      <c r="F14" s="802" t="n"/>
      <c r="G14" s="802" t="n"/>
      <c r="H14" s="802" t="n"/>
      <c r="I14" s="1069" t="n"/>
    </row>
    <row r="15" ht="24.75" customHeight="1" s="683" thickBot="1">
      <c r="A15" s="215" t="inlineStr">
        <is>
          <t>問：</t>
        </is>
      </c>
      <c r="B15" s="1068" t="inlineStr">
        <is>
          <t>是否需要轉介單位提供服務？</t>
        </is>
      </c>
      <c r="C15" s="802" t="n"/>
      <c r="D15" s="802" t="n"/>
      <c r="E15" s="802" t="n"/>
      <c r="F15" s="802" t="n"/>
      <c r="G15" s="802" t="n"/>
      <c r="H15" s="802" t="n"/>
      <c r="I15" s="1069" t="n"/>
    </row>
    <row r="16" ht="24.75" customHeight="1" s="683" thickBot="1">
      <c r="A16" s="215" t="inlineStr">
        <is>
          <t>答：</t>
        </is>
      </c>
      <c r="B16" s="1068" t="inlineStr">
        <is>
          <t>不需要。</t>
        </is>
      </c>
      <c r="C16" s="802" t="n"/>
      <c r="D16" s="802" t="n"/>
      <c r="E16" s="802" t="n"/>
      <c r="F16" s="802" t="n"/>
      <c r="G16" s="802" t="n"/>
      <c r="H16" s="802" t="n"/>
      <c r="I16" s="1069" t="n"/>
    </row>
    <row r="17" ht="24.75" customHeight="1" s="683" thickBot="1">
      <c r="A17" s="215" t="inlineStr">
        <is>
          <t>問：</t>
        </is>
      </c>
      <c r="B17" s="1068" t="inlineStr">
        <is>
          <t>以上訪談將作成紀錄，請問是否還有需要我們警方提供協助之處？</t>
        </is>
      </c>
      <c r="C17" s="802" t="n"/>
      <c r="D17" s="802" t="n"/>
      <c r="E17" s="802" t="n"/>
      <c r="F17" s="802" t="n"/>
      <c r="G17" s="802" t="n"/>
      <c r="H17" s="802" t="n"/>
      <c r="I17" s="1069" t="n"/>
    </row>
    <row r="18" ht="24.75" customHeight="1" s="683" thickBot="1">
      <c r="A18" s="215" t="inlineStr">
        <is>
          <t>答：</t>
        </is>
      </c>
      <c r="B18" s="1068" t="inlineStr">
        <is>
          <t xml:space="preserve">沒有。 </t>
        </is>
      </c>
      <c r="C18" s="802" t="n"/>
      <c r="D18" s="802" t="n"/>
      <c r="E18" s="802" t="n"/>
      <c r="F18" s="802" t="n"/>
      <c r="G18" s="802" t="n"/>
      <c r="H18" s="802" t="n"/>
      <c r="I18" s="1069" t="n"/>
    </row>
    <row r="19" ht="24.75" customHeight="1" s="683" thickBot="1">
      <c r="A19" s="215" t="n"/>
      <c r="B19" s="1068" t="inlineStr">
        <is>
          <t>以下空白</t>
        </is>
      </c>
      <c r="C19" s="802" t="n"/>
      <c r="D19" s="802" t="n"/>
      <c r="E19" s="802" t="n"/>
      <c r="F19" s="802" t="n"/>
      <c r="G19" s="802" t="n"/>
      <c r="H19" s="802" t="n"/>
      <c r="I19" s="1069" t="n"/>
    </row>
    <row r="20" ht="24.75" customHeight="1" s="683" thickBot="1">
      <c r="A20" s="215" t="n"/>
      <c r="B20" s="1068" t="n"/>
      <c r="C20" s="802" t="n"/>
      <c r="D20" s="802" t="n"/>
      <c r="E20" s="802" t="n"/>
      <c r="F20" s="802" t="n"/>
      <c r="G20" s="802" t="n"/>
      <c r="H20" s="802" t="n"/>
      <c r="I20" s="1069" t="n"/>
    </row>
    <row r="21" ht="24.75" customHeight="1" s="683" thickBot="1">
      <c r="A21" s="215" t="n"/>
      <c r="B21" s="1068" t="inlineStr">
        <is>
          <t xml:space="preserve"> </t>
        </is>
      </c>
      <c r="C21" s="802" t="n"/>
      <c r="D21" s="802" t="n"/>
      <c r="E21" s="802" t="n"/>
      <c r="F21" s="802" t="n"/>
      <c r="G21" s="802" t="n"/>
      <c r="H21" s="802" t="n"/>
      <c r="I21" s="1069" t="n"/>
    </row>
    <row r="22" ht="24.75" customHeight="1" s="683" thickBot="1">
      <c r="A22" s="215" t="n"/>
      <c r="B22" s="1068" t="n"/>
      <c r="C22" s="802" t="n"/>
      <c r="D22" s="802" t="n"/>
      <c r="E22" s="802" t="n"/>
      <c r="F22" s="802" t="n"/>
      <c r="G22" s="802" t="n"/>
      <c r="H22" s="802" t="n"/>
      <c r="I22" s="1069" t="n"/>
    </row>
    <row r="23" ht="24.75" customHeight="1" s="683" thickBot="1">
      <c r="A23" s="215" t="n"/>
      <c r="B23" s="1068" t="n"/>
      <c r="C23" s="802" t="n"/>
      <c r="D23" s="802" t="n"/>
      <c r="E23" s="802" t="n"/>
      <c r="F23" s="802" t="n"/>
      <c r="G23" s="802" t="n"/>
      <c r="H23" s="802" t="n"/>
      <c r="I23" s="1069" t="n"/>
    </row>
    <row r="24" ht="24.75" customHeight="1" s="683" thickBot="1">
      <c r="A24" s="1085">
        <f>CONCATENATE("受訪人：",輸入!#REF!)</f>
        <v/>
      </c>
      <c r="B24" s="1076" t="n"/>
      <c r="C24" s="1076" t="n"/>
      <c r="D24" s="1076" t="n"/>
      <c r="E24" s="1076" t="n"/>
      <c r="F24" s="1086" t="n"/>
      <c r="G24" s="1075" t="inlineStr">
        <is>
          <t>查訪人：</t>
        </is>
      </c>
      <c r="H24" s="1076" t="n"/>
      <c r="I24" s="1077" t="n"/>
    </row>
    <row r="25" ht="17.25" customHeight="1" s="683" thickTop="1"/>
  </sheetData>
  <mergeCells count="34">
    <mergeCell ref="C6:D6"/>
    <mergeCell ref="C8:I8"/>
    <mergeCell ref="B16:I16"/>
    <mergeCell ref="B22:I22"/>
    <mergeCell ref="F6:G6"/>
    <mergeCell ref="A6:B6"/>
    <mergeCell ref="A2:C2"/>
    <mergeCell ref="F7:G7"/>
    <mergeCell ref="B18:I18"/>
    <mergeCell ref="G24:I24"/>
    <mergeCell ref="B12:I12"/>
    <mergeCell ref="D1:I2"/>
    <mergeCell ref="B21:I21"/>
    <mergeCell ref="A7:B7"/>
    <mergeCell ref="B11:I11"/>
    <mergeCell ref="C3:I3"/>
    <mergeCell ref="B14:I14"/>
    <mergeCell ref="B23:I23"/>
    <mergeCell ref="A3:B3"/>
    <mergeCell ref="C5:I5"/>
    <mergeCell ref="B17:I17"/>
    <mergeCell ref="B13:I13"/>
    <mergeCell ref="C4:I4"/>
    <mergeCell ref="A5:B5"/>
    <mergeCell ref="B10:I10"/>
    <mergeCell ref="B19:I19"/>
    <mergeCell ref="A8:B8"/>
    <mergeCell ref="A24:F24"/>
    <mergeCell ref="B9:I9"/>
    <mergeCell ref="A4:B4"/>
    <mergeCell ref="C7:D7"/>
    <mergeCell ref="B15:I15"/>
    <mergeCell ref="A1:C1"/>
    <mergeCell ref="B20:I20"/>
  </mergeCells>
  <pageMargins left="0.21875" right="0.21875" top="0.75" bottom="0.75" header="0.3" footer="0.3"/>
  <pageSetup orientation="portrait" paperSize="9"/>
</worksheet>
</file>

<file path=xl/worksheets/sheet39.xml><?xml version="1.0" encoding="utf-8"?>
<worksheet xmlns="http://schemas.openxmlformats.org/spreadsheetml/2006/main">
  <sheetPr codeName="工作表33">
    <tabColor theme="9"/>
    <outlinePr summaryBelow="1" summaryRight="1"/>
    <pageSetUpPr/>
  </sheetPr>
  <dimension ref="A1:O57"/>
  <sheetViews>
    <sheetView showGridLines="0" view="pageBreakPreview" zoomScaleNormal="100" zoomScaleSheetLayoutView="100" workbookViewId="0">
      <selection activeCell="C4" sqref="C4:O4"/>
    </sheetView>
  </sheetViews>
  <sheetFormatPr baseColWidth="8" defaultRowHeight="16.5"/>
  <cols>
    <col width="5.375" customWidth="1" style="683" min="1" max="1"/>
    <col width="13.625" customWidth="1" style="683" min="2" max="3"/>
    <col width="2.5" customWidth="1" style="683" min="4" max="6"/>
    <col width="8.375" customWidth="1" style="683" min="7" max="7"/>
    <col width="4.125" customWidth="1" style="683" min="8" max="10"/>
    <col width="4.75" customWidth="1" style="683" min="11" max="11"/>
    <col width="4" customWidth="1" style="683" min="12" max="12"/>
    <col width="3.375" customWidth="1" style="683" min="13" max="13"/>
    <col width="1.875" customWidth="1" style="683" min="14" max="14"/>
    <col width="18.25" customWidth="1" style="683" min="15" max="15"/>
  </cols>
  <sheetData>
    <row r="1" ht="20.25" customHeight="1" s="683" thickBot="1">
      <c r="A1" s="1135" t="inlineStr">
        <is>
          <t>查獲毒品危害防制條例案件現行犯監護照顧未滿12歲子女或兒童紀錄表</t>
        </is>
      </c>
      <c r="B1" s="1136" t="n"/>
      <c r="C1" s="1136" t="n"/>
      <c r="D1" s="1136" t="n"/>
      <c r="E1" s="1136" t="n"/>
      <c r="F1" s="1136" t="n"/>
      <c r="G1" s="1136" t="n"/>
      <c r="H1" s="1136" t="n"/>
      <c r="I1" s="1136" t="n"/>
      <c r="J1" s="1136" t="n"/>
      <c r="K1" s="1136" t="n"/>
      <c r="L1" s="1136" t="n"/>
      <c r="M1" s="1136" t="n"/>
      <c r="N1" s="1136" t="n"/>
      <c r="O1" s="1136" t="n"/>
    </row>
    <row r="2" ht="25.5" customHeight="1" s="683" thickBot="1" thickTop="1">
      <c r="A2" s="1105" t="inlineStr">
        <is>
          <t>嫌犯基本資料</t>
        </is>
      </c>
      <c r="B2" s="214" t="inlineStr">
        <is>
          <t>移送書文號</t>
        </is>
      </c>
      <c r="C2" s="1132" t="n"/>
      <c r="D2" s="1119" t="n"/>
      <c r="E2" s="1119" t="n"/>
      <c r="F2" s="1119" t="n"/>
      <c r="G2" s="1133" t="n"/>
      <c r="H2" s="1134" t="inlineStr">
        <is>
          <t>移送司法機關</t>
        </is>
      </c>
      <c r="I2" s="1119" t="n"/>
      <c r="J2" s="1119" t="n"/>
      <c r="K2" s="1133" t="n"/>
      <c r="L2" s="1118" t="n"/>
      <c r="M2" s="1119" t="n"/>
      <c r="N2" s="1119" t="n"/>
      <c r="O2" s="1120" t="n"/>
    </row>
    <row r="3" ht="25.5" customHeight="1" s="683" thickBot="1">
      <c r="A3" s="1106" t="n"/>
      <c r="B3" s="214" t="inlineStr">
        <is>
          <t>嫌犯姓名</t>
        </is>
      </c>
      <c r="C3" s="1100">
        <f>word用!$H$2</f>
        <v/>
      </c>
      <c r="D3" s="1092" t="n"/>
      <c r="E3" s="1091" t="inlineStr">
        <is>
          <t>身分證字號</t>
        </is>
      </c>
      <c r="F3" s="1095" t="n"/>
      <c r="G3" s="1092" t="n"/>
      <c r="H3" s="1100">
        <f>UPPER(VLOOKUP($C$3,個資,2,FALSE))</f>
        <v/>
      </c>
      <c r="I3" s="1095" t="n"/>
      <c r="J3" s="1095" t="n"/>
      <c r="K3" s="1092" t="n"/>
      <c r="L3" s="1091" t="inlineStr">
        <is>
          <t>查獲日期</t>
        </is>
      </c>
      <c r="M3" s="1095" t="n"/>
      <c r="N3" s="1092" t="n"/>
      <c r="O3" s="407">
        <f>LEFT(下拉用!$J$5,10)</f>
        <v/>
      </c>
    </row>
    <row r="4" ht="25.5" customHeight="1" s="683" thickBot="1">
      <c r="A4" s="1106" t="n"/>
      <c r="B4" s="214" t="inlineStr">
        <is>
          <t>嫌犯戶籍地</t>
        </is>
      </c>
      <c r="C4" s="1116">
        <f>VLOOKUP($C$3,個資,6,FALSE)</f>
        <v/>
      </c>
      <c r="D4" s="1095" t="n"/>
      <c r="E4" s="1095" t="n"/>
      <c r="F4" s="1095" t="n"/>
      <c r="G4" s="1095" t="n"/>
      <c r="H4" s="1095" t="n"/>
      <c r="I4" s="1095" t="n"/>
      <c r="J4" s="1095" t="n"/>
      <c r="K4" s="1095" t="n"/>
      <c r="L4" s="1095" t="n"/>
      <c r="M4" s="1095" t="n"/>
      <c r="N4" s="1095" t="n"/>
      <c r="O4" s="1096" t="n"/>
    </row>
    <row r="5" ht="25.5" customHeight="1" s="683" thickBot="1">
      <c r="A5" s="1107" t="n"/>
      <c r="B5" s="214" t="inlineStr">
        <is>
          <t>實際居所地</t>
        </is>
      </c>
      <c r="C5" s="1116">
        <f>VLOOKUP($C$3,個資,7,FALSE)</f>
        <v/>
      </c>
      <c r="D5" s="1095" t="n"/>
      <c r="E5" s="1095" t="n"/>
      <c r="F5" s="1095" t="n"/>
      <c r="G5" s="1095" t="n"/>
      <c r="H5" s="1095" t="n"/>
      <c r="I5" s="1095" t="n"/>
      <c r="J5" s="1095" t="n"/>
      <c r="K5" s="1095" t="n"/>
      <c r="L5" s="1095" t="n"/>
      <c r="M5" s="1095" t="n"/>
      <c r="N5" s="1095" t="n"/>
      <c r="O5" s="1096" t="n"/>
    </row>
    <row r="6" ht="22.5" customHeight="1" s="683" thickBot="1">
      <c r="A6" s="1131" t="inlineStr">
        <is>
          <t>未滿12歲子女或兒童資料</t>
        </is>
      </c>
      <c r="B6" s="213" t="inlineStr">
        <is>
          <t>未滿12歲孩童</t>
        </is>
      </c>
      <c r="C6" s="214" t="inlineStr">
        <is>
          <t>姓名</t>
        </is>
      </c>
      <c r="D6" s="1091" t="inlineStr">
        <is>
          <t>性別</t>
        </is>
      </c>
      <c r="E6" s="1095" t="n"/>
      <c r="F6" s="1092" t="n"/>
      <c r="G6" s="1091" t="inlineStr">
        <is>
          <t>出生日期</t>
        </is>
      </c>
      <c r="H6" s="1095" t="n"/>
      <c r="I6" s="1095" t="n"/>
      <c r="J6" s="1092" t="n"/>
      <c r="K6" s="1091" t="inlineStr">
        <is>
          <t>就讀學校</t>
        </is>
      </c>
      <c r="L6" s="1095" t="n"/>
      <c r="M6" s="1092" t="n"/>
      <c r="N6" s="1094" t="inlineStr">
        <is>
          <t>身心障礙情形</t>
        </is>
      </c>
      <c r="O6" s="1096" t="n"/>
    </row>
    <row r="7" ht="22.5" customHeight="1" s="683" thickBot="1">
      <c r="A7" s="1106" t="n"/>
      <c r="B7" s="213" t="inlineStr">
        <is>
          <t>基本資料</t>
        </is>
      </c>
      <c r="C7" s="212" t="n"/>
      <c r="D7" s="1100" t="n"/>
      <c r="E7" s="1095" t="n"/>
      <c r="F7" s="1092" t="n"/>
      <c r="G7" s="1104" t="n"/>
      <c r="H7" s="1095" t="n"/>
      <c r="I7" s="1095" t="n"/>
      <c r="J7" s="1092" t="n"/>
      <c r="K7" s="1100" t="n"/>
      <c r="L7" s="1095" t="n"/>
      <c r="M7" s="1092" t="n"/>
      <c r="N7" s="1115" t="inlineStr">
        <is>
          <t>□    是   □ 無</t>
        </is>
      </c>
      <c r="O7" s="1096" t="n"/>
    </row>
    <row r="8" ht="22.5" customHeight="1" s="683" thickBot="1">
      <c r="A8" s="1106" t="n"/>
      <c r="B8" s="211" t="n"/>
      <c r="C8" s="212">
        <f>IF(被害人筆錄!A2=FALSE,"",IF(輸入!G15="","",輸入!G15))</f>
        <v/>
      </c>
      <c r="D8" s="1100">
        <f>IF(被害人筆錄!A2=FALSE,"",IF(輸入!I15="","",輸入!I15))</f>
        <v/>
      </c>
      <c r="E8" s="1095" t="n"/>
      <c r="F8" s="1092" t="n"/>
      <c r="G8" s="1104">
        <f>IF(被害人筆錄!A2=FALSE,"",IF(輸入!AF13="","",CONCATENATE(LEFT(輸入!AF13,3),"年",MID(輸入!AF13,5,2),"月",RIGHT(輸入!AF13,2),"日")))</f>
        <v/>
      </c>
      <c r="H8" s="1095" t="n"/>
      <c r="I8" s="1095" t="n"/>
      <c r="J8" s="1092" t="n"/>
      <c r="K8" s="1100" t="n"/>
      <c r="L8" s="1095" t="n"/>
      <c r="M8" s="1092" t="n"/>
      <c r="N8" s="1115" t="inlineStr">
        <is>
          <t>□    是   □ 無</t>
        </is>
      </c>
      <c r="O8" s="1096" t="n"/>
    </row>
    <row r="9" ht="22.5" customHeight="1" s="683" thickBot="1">
      <c r="A9" s="1106" t="n"/>
      <c r="B9" s="211" t="n"/>
      <c r="C9" s="212">
        <f>IF(被害人筆錄!A2=FALSE,"",IF(輸入!W13="","",輸入!W13))</f>
        <v/>
      </c>
      <c r="D9" s="1100">
        <f>IF(被害人筆錄!A2=FALSE,"",IF(輸入!AC13="","",輸入!AC13))</f>
        <v/>
      </c>
      <c r="E9" s="1095" t="n"/>
      <c r="F9" s="1092" t="n"/>
      <c r="G9" s="1104">
        <f>IF(被害人筆錄!A2=FALSE,"",IF(輸入!AF13="","",CONCATENATE(LEFT(輸入!AF13,3),"年",MID(輸入!AF13,5,2),"月",RIGHT(輸入!AF13,2),"日")))</f>
        <v/>
      </c>
      <c r="H9" s="1095" t="n"/>
      <c r="I9" s="1095" t="n"/>
      <c r="J9" s="1092" t="n"/>
      <c r="K9" s="1100">
        <f>IF(被害人筆錄!A2=FALSE,"",IF(輸入!AL13="","",輸入!AL13))</f>
        <v/>
      </c>
      <c r="L9" s="1095" t="n"/>
      <c r="M9" s="1092" t="n"/>
      <c r="N9" s="1115" t="inlineStr">
        <is>
          <t>□    是   □ 無</t>
        </is>
      </c>
      <c r="O9" s="1096" t="n"/>
    </row>
    <row r="10" ht="22.5" customHeight="1" s="683" thickBot="1">
      <c r="A10" s="1106" t="n"/>
      <c r="B10" s="210" t="n"/>
      <c r="C10" s="212">
        <f>IF(被害人筆錄!A2=FALSE,"",IF(輸入!W15="","",輸入!W15))</f>
        <v/>
      </c>
      <c r="D10" s="1100">
        <f>IF(被害人筆錄!A2=FALSE,"",IF(輸入!AC15="","",輸入!AC15))</f>
        <v/>
      </c>
      <c r="E10" s="1095" t="n"/>
      <c r="F10" s="1092" t="n"/>
      <c r="G10" s="1104">
        <f>IF(被害人筆錄!A2=FALSE,"",IF(輸入!AF15="","",CONCATENATE(LEFT(輸入!AF15,3),"年",MID(輸入!AF15,5,2),"月",RIGHT(輸入!AF15,2),"日")))</f>
        <v/>
      </c>
      <c r="H10" s="1095" t="n"/>
      <c r="I10" s="1095" t="n"/>
      <c r="J10" s="1092" t="n"/>
      <c r="K10" s="1100">
        <f>IF(被害人筆錄!A2=FALSE,"",IF(輸入!AL15="","",輸入!AL15))</f>
        <v/>
      </c>
      <c r="L10" s="1095" t="n"/>
      <c r="M10" s="1092" t="n"/>
      <c r="N10" s="1115" t="inlineStr">
        <is>
          <t>□    是   □ 無</t>
        </is>
      </c>
      <c r="O10" s="1096" t="n"/>
    </row>
    <row r="11" ht="32.25" customHeight="1" s="683">
      <c r="A11" s="1106" t="n"/>
      <c r="B11" s="1091" t="inlineStr">
        <is>
          <t>孩童照顧狀態</t>
        </is>
      </c>
      <c r="C11" s="1138" t="inlineStr">
        <is>
          <t>□嫌犯拒不說明孩童下落，或經初步查證為行方不明、情狀不明等，已通知本轄婦幼警察隊派員面訪調查。</t>
        </is>
      </c>
      <c r="D11" s="743" t="n"/>
      <c r="E11" s="743" t="n"/>
      <c r="F11" s="743" t="n"/>
      <c r="G11" s="743" t="n"/>
      <c r="H11" s="743" t="n"/>
      <c r="I11" s="743" t="n"/>
      <c r="J11" s="743" t="n"/>
      <c r="K11" s="743" t="n"/>
      <c r="L11" s="743" t="n"/>
      <c r="M11" s="743" t="n"/>
      <c r="N11" s="743" t="n"/>
      <c r="O11" s="1109" t="n"/>
    </row>
    <row r="12" ht="33" customHeight="1" s="683">
      <c r="A12" s="1106" t="n"/>
      <c r="B12" s="1126" t="n"/>
      <c r="C12" s="1099" t="inlineStr">
        <is>
          <t>□確認孩童現無人照顧後，已通知社政單位及轄區派出所員警前往處理，並至警政知識聯網「婦幼安全線上通報系統」通報兒少保護案件。</t>
        </is>
      </c>
      <c r="D12" s="637" t="n"/>
      <c r="E12" s="637" t="n"/>
      <c r="F12" s="637" t="n"/>
      <c r="G12" s="637" t="n"/>
      <c r="H12" s="637" t="n"/>
      <c r="I12" s="637" t="n"/>
      <c r="J12" s="637" t="n"/>
      <c r="K12" s="637" t="n"/>
      <c r="L12" s="637" t="n"/>
      <c r="M12" s="637" t="n"/>
      <c r="N12" s="637" t="n"/>
      <c r="O12" s="868" t="n"/>
    </row>
    <row r="13" ht="35.25" customHeight="1" s="683">
      <c r="A13" s="1106" t="n"/>
      <c r="B13" s="1126" t="n"/>
      <c r="C13" s="1099" t="inlineStr">
        <is>
          <t>□孩童委託友人照顧，電訪確認及記錄後，已通知本轄婦幼警察隊派員實施面訪。</t>
        </is>
      </c>
      <c r="D13" s="637" t="n"/>
      <c r="E13" s="637" t="n"/>
      <c r="F13" s="637" t="n"/>
      <c r="G13" s="637" t="n"/>
      <c r="H13" s="637" t="n"/>
      <c r="I13" s="637" t="n"/>
      <c r="J13" s="637" t="n"/>
      <c r="K13" s="637" t="n"/>
      <c r="L13" s="637" t="n"/>
      <c r="M13" s="637" t="n"/>
      <c r="N13" s="637" t="n"/>
      <c r="O13" s="868" t="n"/>
    </row>
    <row r="14" ht="33" customHeight="1" s="683">
      <c r="A14" s="1106" t="n"/>
      <c r="B14" s="1126" t="n"/>
      <c r="C14" s="1099">
        <f>CONCATENATE(IF(被害人筆錄!A2=FALSE,"□孩童由親屬(身分：","V孩童由親屬(身分："),IF(被害人筆錄!A2=FALSE,"　　",輸入!AW6),")照顧，經",輸入!AU21,"年",輸入!AV21,"月",輸入!AW21,"日",輸入!AX21,"時",輸入!AY21,"分實施電話查訪，詢問得知孩童受照顧狀況、家庭互動及經濟情形如下：")</f>
        <v/>
      </c>
      <c r="D14" s="637" t="n"/>
      <c r="E14" s="637" t="n"/>
      <c r="F14" s="637" t="n"/>
      <c r="G14" s="637" t="n"/>
      <c r="H14" s="637" t="n"/>
      <c r="I14" s="637" t="n"/>
      <c r="J14" s="637" t="n"/>
      <c r="K14" s="637" t="n"/>
      <c r="L14" s="637" t="n"/>
      <c r="M14" s="637" t="n"/>
      <c r="N14" s="637" t="n"/>
      <c r="O14" s="868" t="n"/>
    </row>
    <row r="15" ht="34.5" customHeight="1" s="683">
      <c r="A15" s="1106" t="n"/>
      <c r="B15" s="1126" t="n"/>
      <c r="C15" s="1099">
        <f>IF(被害人筆錄!A2=FALSE,"   □孩童正常就學，受妥適照顧，照顧者表示無照顧困難或需關懷協助事項，現無危險情事或保護之必要。","  V孩童正常就學，受妥適照顧，照顧者表示無照顧困難或需關懷協助事項，現無危險情事或保護之必要。")</f>
        <v/>
      </c>
      <c r="D15" s="637" t="n"/>
      <c r="E15" s="637" t="n"/>
      <c r="F15" s="637" t="n"/>
      <c r="G15" s="637" t="n"/>
      <c r="H15" s="637" t="n"/>
      <c r="I15" s="637" t="n"/>
      <c r="J15" s="637" t="n"/>
      <c r="K15" s="637" t="n"/>
      <c r="L15" s="637" t="n"/>
      <c r="M15" s="637" t="n"/>
      <c r="N15" s="637" t="n"/>
      <c r="O15" s="868" t="n"/>
    </row>
    <row r="16" ht="65.25" customHeight="1" s="683">
      <c r="A16" s="1106" t="n"/>
      <c r="B16" s="1126" t="n"/>
      <c r="C16" s="1099" t="inlineStr">
        <is>
          <t xml:space="preserve">   □有兒少福權法第53條兒少保護或第54條高風險家庭情事（檢核指標如後頁），□或照顧者表示有照顧困難或需關懷協助事項，已至警政知識聯網「婦幼安全線上通報系統」通報          市(縣)社政單位處理，並於通報表「案情簡述」欄位內詳細填寫電訪時間、兒童受照顧狀況等紀錄。</t>
        </is>
      </c>
      <c r="D16" s="637" t="n"/>
      <c r="E16" s="637" t="n"/>
      <c r="F16" s="637" t="n"/>
      <c r="G16" s="637" t="n"/>
      <c r="H16" s="637" t="n"/>
      <c r="I16" s="637" t="n"/>
      <c r="J16" s="637" t="n"/>
      <c r="K16" s="637" t="n"/>
      <c r="L16" s="637" t="n"/>
      <c r="M16" s="637" t="n"/>
      <c r="N16" s="637" t="n"/>
      <c r="O16" s="868" t="n"/>
    </row>
    <row r="17" ht="33.75" customHeight="1" s="683">
      <c r="A17" s="1106" t="n"/>
      <c r="B17" s="1126" t="n"/>
      <c r="C17" s="1099" t="inlineStr">
        <is>
          <t xml:space="preserve">   □電訪遭拒或查詢得知兒童行方不明，已通知本轄婦幼警察隊派員面訪調查。</t>
        </is>
      </c>
      <c r="D17" s="637" t="n"/>
      <c r="E17" s="637" t="n"/>
      <c r="F17" s="637" t="n"/>
      <c r="G17" s="637" t="n"/>
      <c r="H17" s="637" t="n"/>
      <c r="I17" s="637" t="n"/>
      <c r="J17" s="637" t="n"/>
      <c r="K17" s="637" t="n"/>
      <c r="L17" s="637" t="n"/>
      <c r="M17" s="637" t="n"/>
      <c r="N17" s="637" t="n"/>
      <c r="O17" s="868" t="n"/>
    </row>
    <row r="18" ht="30" customHeight="1" s="683">
      <c r="A18" s="1106" t="n"/>
      <c r="B18" s="1126" t="n"/>
      <c r="C18" s="1099" t="inlineStr">
        <is>
          <t>□孩童已由社政單位安置，電話聯繫社政單位確認其現於社福機構或寄養家庭照顧中。</t>
        </is>
      </c>
      <c r="D18" s="637" t="n"/>
      <c r="E18" s="637" t="n"/>
      <c r="F18" s="637" t="n"/>
      <c r="G18" s="637" t="n"/>
      <c r="H18" s="637" t="n"/>
      <c r="I18" s="637" t="n"/>
      <c r="J18" s="637" t="n"/>
      <c r="K18" s="637" t="n"/>
      <c r="L18" s="637" t="n"/>
      <c r="M18" s="637" t="n"/>
      <c r="N18" s="637" t="n"/>
      <c r="O18" s="868" t="n"/>
    </row>
    <row r="19" ht="17.25" customHeight="1" s="683" thickBot="1">
      <c r="A19" s="1106" t="n"/>
      <c r="B19" s="1127" t="n"/>
      <c r="C19" s="1128" t="inlineStr">
        <is>
          <t>□其他：</t>
        </is>
      </c>
      <c r="D19" s="1129" t="n"/>
      <c r="E19" s="1129" t="n"/>
      <c r="F19" s="1129" t="n"/>
      <c r="G19" s="1129" t="n"/>
      <c r="H19" s="1129" t="n"/>
      <c r="I19" s="1129" t="n"/>
      <c r="J19" s="1129" t="n"/>
      <c r="K19" s="1129" t="n"/>
      <c r="L19" s="1129" t="n"/>
      <c r="M19" s="1129" t="n"/>
      <c r="N19" s="1129" t="n"/>
      <c r="O19" s="1130" t="n"/>
    </row>
    <row r="20" ht="23.25" customHeight="1" s="683" thickBot="1">
      <c r="A20" s="1106" t="n"/>
      <c r="B20" s="214" t="inlineStr">
        <is>
          <t>孩童現所在地</t>
        </is>
      </c>
      <c r="C20" s="1115" t="n"/>
      <c r="D20" s="1095" t="n"/>
      <c r="E20" s="1095" t="n"/>
      <c r="F20" s="1095" t="n"/>
      <c r="G20" s="1095" t="n"/>
      <c r="H20" s="1095" t="n"/>
      <c r="I20" s="1095" t="n"/>
      <c r="J20" s="1095" t="n"/>
      <c r="K20" s="1095" t="n"/>
      <c r="L20" s="1095" t="n"/>
      <c r="M20" s="1095" t="n"/>
      <c r="N20" s="1095" t="n"/>
      <c r="O20" s="1096" t="n"/>
    </row>
    <row r="21" ht="20.25" customHeight="1" s="683" thickBot="1">
      <c r="A21" s="1106" t="n"/>
      <c r="B21" s="213" t="inlineStr">
        <is>
          <t>實際照顧者</t>
        </is>
      </c>
      <c r="C21" s="214" t="inlineStr">
        <is>
          <t>姓名</t>
        </is>
      </c>
      <c r="D21" s="1091" t="inlineStr">
        <is>
          <t>性別</t>
        </is>
      </c>
      <c r="E21" s="1095" t="n"/>
      <c r="F21" s="1092" t="n"/>
      <c r="G21" s="1091" t="inlineStr">
        <is>
          <t>出生日期</t>
        </is>
      </c>
      <c r="H21" s="1092" t="n"/>
      <c r="I21" s="1091" t="inlineStr">
        <is>
          <t>身分證字號</t>
        </is>
      </c>
      <c r="J21" s="1095" t="n"/>
      <c r="K21" s="1095" t="n"/>
      <c r="L21" s="1092" t="n"/>
      <c r="M21" s="1094" t="inlineStr">
        <is>
          <t>聯絡電話</t>
        </is>
      </c>
      <c r="N21" s="1095" t="n"/>
      <c r="O21" s="1096" t="n"/>
    </row>
    <row r="22" ht="30.75" customHeight="1" s="683" thickBot="1">
      <c r="A22" s="1106" t="n"/>
      <c r="B22" s="213" t="inlineStr">
        <is>
          <t>基本資料</t>
        </is>
      </c>
      <c r="C22" s="212" t="n"/>
      <c r="D22" s="1100" t="n"/>
      <c r="E22" s="1095" t="n"/>
      <c r="F22" s="1092" t="n"/>
      <c r="G22" s="1100" t="n"/>
      <c r="H22" s="1092" t="n"/>
      <c r="I22" s="1100" t="n"/>
      <c r="J22" s="1095" t="n"/>
      <c r="K22" s="1095" t="n"/>
      <c r="L22" s="1092" t="n"/>
      <c r="M22" s="1116" t="n"/>
      <c r="N22" s="1095" t="n"/>
      <c r="O22" s="1096" t="n"/>
    </row>
    <row r="23" ht="25.5" customHeight="1" s="683">
      <c r="A23" s="1106" t="n"/>
      <c r="B23" s="211" t="n"/>
      <c r="C23" s="1091" t="inlineStr">
        <is>
          <t>聯絡地址</t>
        </is>
      </c>
      <c r="D23" s="1108" t="inlineStr">
        <is>
          <t>□ 同孩童現所在地   □ 不同請註明</t>
        </is>
      </c>
      <c r="E23" s="743" t="n"/>
      <c r="F23" s="743" t="n"/>
      <c r="G23" s="743" t="n"/>
      <c r="H23" s="743" t="n"/>
      <c r="I23" s="743" t="n"/>
      <c r="J23" s="743" t="n"/>
      <c r="K23" s="743" t="n"/>
      <c r="L23" s="743" t="n"/>
      <c r="M23" s="743" t="n"/>
      <c r="N23" s="743" t="n"/>
      <c r="O23" s="1109" t="n"/>
    </row>
    <row r="24" ht="54" customHeight="1" s="683" thickBot="1">
      <c r="A24" s="1107" t="n"/>
      <c r="B24" s="210" t="n"/>
      <c r="C24" s="1127" t="n"/>
      <c r="D24" s="1137">
        <f>IF(被害人筆錄!A2=FALSE,"",IF(被害人筆錄!A4=FALSE,輸入!AP15,""))</f>
        <v/>
      </c>
      <c r="E24" s="1129" t="n"/>
      <c r="F24" s="1129" t="n"/>
      <c r="G24" s="1129" t="n"/>
      <c r="H24" s="1129" t="n"/>
      <c r="I24" s="1129" t="n"/>
      <c r="J24" s="1129" t="n"/>
      <c r="K24" s="1129" t="n"/>
      <c r="L24" s="1129" t="n"/>
      <c r="M24" s="1129" t="n"/>
      <c r="N24" s="1129" t="n"/>
      <c r="O24" s="1130" t="n"/>
    </row>
    <row r="25" ht="28.5" customHeight="1" s="683" thickBot="1">
      <c r="A25" s="1112" t="inlineStr">
        <is>
          <t>填表人員</t>
        </is>
      </c>
      <c r="B25" s="1113" t="n"/>
      <c r="C25" s="1102" t="inlineStr">
        <is>
          <t>警察局別</t>
        </is>
      </c>
      <c r="D25" s="1095" t="n"/>
      <c r="E25" s="1092" t="n"/>
      <c r="F25" s="1102" t="inlineStr">
        <is>
          <t>單位別</t>
        </is>
      </c>
      <c r="G25" s="1095" t="n"/>
      <c r="H25" s="1095" t="n"/>
      <c r="I25" s="1092" t="n"/>
      <c r="J25" s="1102" t="inlineStr">
        <is>
          <t>執行員警核章處</t>
        </is>
      </c>
      <c r="K25" s="1095" t="n"/>
      <c r="L25" s="1095" t="n"/>
      <c r="M25" s="1095" t="n"/>
      <c r="N25" s="1092" t="n"/>
      <c r="O25" s="209" t="inlineStr">
        <is>
          <t>單位主管核章處</t>
        </is>
      </c>
    </row>
    <row r="26" ht="33" customHeight="1" s="683" thickBot="1">
      <c r="A26" s="1114" t="n"/>
      <c r="B26" s="757" t="n"/>
      <c r="C26" s="1121">
        <f>CONCATENATE(輸入!$S$18,輸入!$T$18,CHAR(10),輸入!$S$19,輸入!$T$19)</f>
        <v/>
      </c>
      <c r="D26" s="1095" t="n"/>
      <c r="E26" s="1092" t="n"/>
      <c r="F26" s="1121">
        <f>CONCATENATE(輸入!$S$20&amp;輸入!$T$20)</f>
        <v/>
      </c>
      <c r="G26" s="1095" t="n"/>
      <c r="H26" s="1095" t="n"/>
      <c r="I26" s="1092" t="n"/>
      <c r="J26" s="1121" t="n"/>
      <c r="K26" s="1095" t="n"/>
      <c r="L26" s="1095" t="n"/>
      <c r="M26" s="1095" t="n"/>
      <c r="N26" s="1092" t="n"/>
      <c r="O26" s="208" t="n"/>
    </row>
    <row r="27" ht="17.25" customHeight="1" s="683" thickBot="1">
      <c r="A27" s="1117" t="inlineStr">
        <is>
          <t>兒童及少年福利與權益保障法法定通報事由檢核指標</t>
        </is>
      </c>
      <c r="B27" s="1095" t="n"/>
      <c r="C27" s="1095" t="n"/>
      <c r="D27" s="1095" t="n"/>
      <c r="E27" s="1095" t="n"/>
      <c r="F27" s="1095" t="n"/>
      <c r="G27" s="1095" t="n"/>
      <c r="H27" s="1095" t="n"/>
      <c r="I27" s="1095" t="n"/>
      <c r="J27" s="1095" t="n"/>
      <c r="K27" s="1095" t="n"/>
      <c r="L27" s="1095" t="n"/>
      <c r="M27" s="1095" t="n"/>
      <c r="N27" s="1095" t="n"/>
      <c r="O27" s="1096" t="n"/>
    </row>
    <row r="28" ht="16.5" customHeight="1" s="683">
      <c r="A28" s="1122" t="inlineStr">
        <is>
          <t>第53條  兒少保護案件</t>
        </is>
      </c>
      <c r="B28" s="1123" t="n"/>
      <c r="C28" s="1123" t="n"/>
      <c r="D28" s="1123" t="n"/>
      <c r="E28" s="1123" t="n"/>
      <c r="F28" s="1123" t="n"/>
      <c r="G28" s="1123" t="n"/>
      <c r="H28" s="1123" t="n"/>
      <c r="I28" s="1123" t="n"/>
      <c r="J28" s="1123" t="n"/>
      <c r="K28" s="1123" t="n"/>
      <c r="L28" s="1123" t="n"/>
      <c r="M28" s="1123" t="n"/>
      <c r="N28" s="1123" t="n"/>
      <c r="O28" s="1124" t="n"/>
    </row>
    <row r="29">
      <c r="A29" s="1101" t="inlineStr">
        <is>
          <t>g兒少有下列行為者：</t>
        </is>
      </c>
      <c r="B29" s="637" t="n"/>
      <c r="C29" s="637" t="n"/>
      <c r="D29" s="637" t="n"/>
      <c r="E29" s="637" t="n"/>
      <c r="F29" s="637" t="n"/>
      <c r="G29" s="637" t="n"/>
      <c r="H29" s="637" t="n"/>
      <c r="I29" s="637" t="n"/>
      <c r="J29" s="637" t="n"/>
      <c r="K29" s="637" t="n"/>
      <c r="L29" s="637" t="n"/>
      <c r="M29" s="637" t="n"/>
      <c r="N29" s="637" t="n"/>
      <c r="O29" s="868" t="n"/>
    </row>
    <row r="30">
      <c r="A30" s="1111" t="inlineStr">
        <is>
          <t xml:space="preserve"> c兒少施用毒品、非法施用管制藥品或其他有害身心健康之物質。</t>
        </is>
      </c>
      <c r="B30" s="637" t="n"/>
      <c r="C30" s="637" t="n"/>
      <c r="D30" s="637" t="n"/>
      <c r="E30" s="637" t="n"/>
      <c r="F30" s="637" t="n"/>
      <c r="G30" s="637" t="n"/>
      <c r="H30" s="637" t="n"/>
      <c r="I30" s="637" t="n"/>
      <c r="J30" s="637" t="n"/>
      <c r="K30" s="637" t="n"/>
      <c r="L30" s="637" t="n"/>
      <c r="M30" s="637" t="n"/>
      <c r="N30" s="637" t="n"/>
      <c r="O30" s="868" t="n"/>
    </row>
    <row r="31">
      <c r="A31" s="1111" t="inlineStr">
        <is>
          <t xml:space="preserve"> c兒少充當酒家、特種咖啡茶室、限制級電子遊戲場及其他涉及賭博、色情、暴力等足以危害其身心健康場所之侍應。</t>
        </is>
      </c>
      <c r="B31" s="637" t="n"/>
      <c r="C31" s="637" t="n"/>
      <c r="D31" s="637" t="n"/>
      <c r="E31" s="637" t="n"/>
      <c r="F31" s="637" t="n"/>
      <c r="G31" s="637" t="n"/>
      <c r="H31" s="637" t="n"/>
      <c r="I31" s="637" t="n"/>
      <c r="J31" s="637" t="n"/>
      <c r="K31" s="637" t="n"/>
      <c r="L31" s="637" t="n"/>
      <c r="M31" s="637" t="n"/>
      <c r="N31" s="637" t="n"/>
      <c r="O31" s="868" t="n"/>
    </row>
    <row r="32">
      <c r="A32" s="1101" t="inlineStr">
        <is>
          <t>g任何人對兒少有下列行為者：</t>
        </is>
      </c>
      <c r="B32" s="637" t="n"/>
      <c r="C32" s="637" t="n"/>
      <c r="D32" s="637" t="n"/>
      <c r="E32" s="637" t="n"/>
      <c r="F32" s="637" t="n"/>
      <c r="G32" s="637" t="n"/>
      <c r="H32" s="637" t="n"/>
      <c r="I32" s="637" t="n"/>
      <c r="J32" s="637" t="n"/>
      <c r="K32" s="637" t="n"/>
      <c r="L32" s="637" t="n"/>
      <c r="M32" s="637" t="n"/>
      <c r="N32" s="637" t="n"/>
      <c r="O32" s="868" t="n"/>
    </row>
    <row r="33">
      <c r="A33" s="1111" t="inlineStr">
        <is>
          <t xml:space="preserve"> c遺棄c身心虐待c利用其從事有害健康等危險性活動或欺騙之行為c利用身心障礙或畸形兒童供人參觀。</t>
        </is>
      </c>
      <c r="B33" s="637" t="n"/>
      <c r="C33" s="637" t="n"/>
      <c r="D33" s="637" t="n"/>
      <c r="E33" s="637" t="n"/>
      <c r="F33" s="637" t="n"/>
      <c r="G33" s="637" t="n"/>
      <c r="H33" s="637" t="n"/>
      <c r="I33" s="637" t="n"/>
      <c r="J33" s="637" t="n"/>
      <c r="K33" s="637" t="n"/>
      <c r="L33" s="637" t="n"/>
      <c r="M33" s="637" t="n"/>
      <c r="N33" s="637" t="n"/>
      <c r="O33" s="868" t="n"/>
    </row>
    <row r="34">
      <c r="A34" s="1103" t="inlineStr">
        <is>
          <t xml:space="preserve"> c利用其行乞。c剝奪或妨礙其接受國民教育之機會。c強迫其婚嫁。c拐騙、綁架、買賣、質押，或以其為擔保之行為。</t>
        </is>
      </c>
      <c r="B34" s="637" t="n"/>
      <c r="C34" s="637" t="n"/>
      <c r="D34" s="637" t="n"/>
      <c r="E34" s="637" t="n"/>
      <c r="F34" s="637" t="n"/>
      <c r="G34" s="637" t="n"/>
      <c r="H34" s="637" t="n"/>
      <c r="I34" s="637" t="n"/>
      <c r="J34" s="637" t="n"/>
      <c r="K34" s="637" t="n"/>
      <c r="L34" s="637" t="n"/>
      <c r="M34" s="637" t="n"/>
      <c r="N34" s="637" t="n"/>
      <c r="O34" s="868" t="n"/>
    </row>
    <row r="35">
      <c r="A35" s="1103" t="inlineStr">
        <is>
          <t xml:space="preserve"> c強迫、引誘、容留或媒介其為猥褻行為或性交。c供應刀械或其他危險物品。</t>
        </is>
      </c>
      <c r="B35" s="637" t="n"/>
      <c r="C35" s="637" t="n"/>
      <c r="D35" s="637" t="n"/>
      <c r="E35" s="637" t="n"/>
      <c r="F35" s="637" t="n"/>
      <c r="G35" s="637" t="n"/>
      <c r="H35" s="637" t="n"/>
      <c r="I35" s="637" t="n"/>
      <c r="J35" s="637" t="n"/>
      <c r="K35" s="637" t="n"/>
      <c r="L35" s="637" t="n"/>
      <c r="M35" s="637" t="n"/>
      <c r="N35" s="637" t="n"/>
      <c r="O35" s="868" t="n"/>
    </row>
    <row r="36">
      <c r="A36" s="1103" t="inlineStr">
        <is>
          <t xml:space="preserve"> c利用其拍攝或錄製暴力、猥褻、色情或其他有害其身心發展之出版品、影片、光碟、網際網路或其他物品。</t>
        </is>
      </c>
      <c r="B36" s="637" t="n"/>
      <c r="C36" s="637" t="n"/>
      <c r="D36" s="637" t="n"/>
      <c r="E36" s="637" t="n"/>
      <c r="F36" s="637" t="n"/>
      <c r="G36" s="637" t="n"/>
      <c r="H36" s="637" t="n"/>
      <c r="I36" s="637" t="n"/>
      <c r="J36" s="637" t="n"/>
      <c r="K36" s="637" t="n"/>
      <c r="L36" s="637" t="n"/>
      <c r="M36" s="637" t="n"/>
      <c r="N36" s="637" t="n"/>
      <c r="O36" s="868" t="n"/>
    </row>
    <row r="37">
      <c r="A37" s="1103" t="inlineStr">
        <is>
          <t xml:space="preserve"> c違反媒體分級辦法，對其提供或播送有害其身心發展之出版品、影片、光碟、網際網路或其他物品。</t>
        </is>
      </c>
      <c r="B37" s="637" t="n"/>
      <c r="C37" s="637" t="n"/>
      <c r="D37" s="637" t="n"/>
      <c r="E37" s="637" t="n"/>
      <c r="F37" s="637" t="n"/>
      <c r="G37" s="637" t="n"/>
      <c r="H37" s="637" t="n"/>
      <c r="I37" s="637" t="n"/>
      <c r="J37" s="637" t="n"/>
      <c r="K37" s="637" t="n"/>
      <c r="L37" s="637" t="n"/>
      <c r="M37" s="637" t="n"/>
      <c r="N37" s="637" t="n"/>
      <c r="O37" s="868" t="n"/>
    </row>
    <row r="38">
      <c r="A38" s="1103" t="inlineStr">
        <is>
          <t xml:space="preserve"> c帶領或誘使其進入有礙其身心健康之場所。</t>
        </is>
      </c>
      <c r="B38" s="637" t="n"/>
      <c r="C38" s="637" t="n"/>
      <c r="D38" s="637" t="n"/>
      <c r="E38" s="637" t="n"/>
      <c r="F38" s="637" t="n"/>
      <c r="G38" s="637" t="n"/>
      <c r="H38" s="637" t="n"/>
      <c r="I38" s="637" t="n"/>
      <c r="J38" s="637" t="n"/>
      <c r="K38" s="637" t="n"/>
      <c r="L38" s="637" t="n"/>
      <c r="M38" s="637" t="n"/>
      <c r="N38" s="637" t="n"/>
      <c r="O38" s="868" t="n"/>
    </row>
    <row r="39">
      <c r="A39" s="1103" t="inlineStr">
        <is>
          <t xml:space="preserve"> c強迫、引誘、容留或媒介兒童及少年為自殺行為。</t>
        </is>
      </c>
      <c r="B39" s="637" t="n"/>
      <c r="C39" s="637" t="n"/>
      <c r="D39" s="637" t="n"/>
      <c r="E39" s="637" t="n"/>
      <c r="F39" s="637" t="n"/>
      <c r="G39" s="637" t="n"/>
      <c r="H39" s="637" t="n"/>
      <c r="I39" s="637" t="n"/>
      <c r="J39" s="637" t="n"/>
      <c r="K39" s="637" t="n"/>
      <c r="L39" s="637" t="n"/>
      <c r="M39" s="637" t="n"/>
      <c r="N39" s="637" t="n"/>
      <c r="O39" s="868" t="n"/>
    </row>
    <row r="40">
      <c r="A40" s="1103" t="inlineStr">
        <is>
          <t xml:space="preserve"> c其他對兒童及少年或利用兒童及少年犯罪或為不正當之行為。</t>
        </is>
      </c>
      <c r="B40" s="637" t="n"/>
      <c r="C40" s="637" t="n"/>
      <c r="D40" s="637" t="n"/>
      <c r="E40" s="637" t="n"/>
      <c r="F40" s="637" t="n"/>
      <c r="G40" s="637" t="n"/>
      <c r="H40" s="637" t="n"/>
      <c r="I40" s="637" t="n"/>
      <c r="J40" s="637" t="n"/>
      <c r="K40" s="637" t="n"/>
      <c r="L40" s="637" t="n"/>
      <c r="M40" s="637" t="n"/>
      <c r="N40" s="637" t="n"/>
      <c r="O40" s="868" t="n"/>
    </row>
    <row r="41">
      <c r="A41" s="1101" t="inlineStr">
        <is>
          <t>g父母、監護人或其他實際照顧兒童及少年之人對兒少有下列行為者：</t>
        </is>
      </c>
      <c r="B41" s="637" t="n"/>
      <c r="C41" s="637" t="n"/>
      <c r="D41" s="637" t="n"/>
      <c r="E41" s="637" t="n"/>
      <c r="F41" s="637" t="n"/>
      <c r="G41" s="637" t="n"/>
      <c r="H41" s="637" t="n"/>
      <c r="I41" s="637" t="n"/>
      <c r="J41" s="637" t="n"/>
      <c r="K41" s="637" t="n"/>
      <c r="L41" s="637" t="n"/>
      <c r="M41" s="637" t="n"/>
      <c r="N41" s="637" t="n"/>
      <c r="O41" s="868" t="n"/>
    </row>
    <row r="42">
      <c r="A42" s="1103" t="inlineStr">
        <is>
          <t xml:space="preserve"> c使兒童獨處於易發生危險或傷害之環境。</t>
        </is>
      </c>
      <c r="B42" s="637" t="n"/>
      <c r="C42" s="637" t="n"/>
      <c r="D42" s="637" t="n"/>
      <c r="E42" s="637" t="n"/>
      <c r="F42" s="637" t="n"/>
      <c r="G42" s="637" t="n"/>
      <c r="H42" s="637" t="n"/>
      <c r="I42" s="637" t="n"/>
      <c r="J42" s="637" t="n"/>
      <c r="K42" s="637" t="n"/>
      <c r="L42" s="637" t="n"/>
      <c r="M42" s="637" t="n"/>
      <c r="N42" s="637" t="n"/>
      <c r="O42" s="868" t="n"/>
    </row>
    <row r="43">
      <c r="A43" s="1103" t="inlineStr">
        <is>
          <t xml:space="preserve"> c對於6歲以下兒童或需要特別看護之兒童及少年，使其獨處或由不適當之人代為照顧。</t>
        </is>
      </c>
      <c r="B43" s="637" t="n"/>
      <c r="C43" s="637" t="n"/>
      <c r="D43" s="637" t="n"/>
      <c r="E43" s="637" t="n"/>
      <c r="F43" s="637" t="n"/>
      <c r="G43" s="637" t="n"/>
      <c r="H43" s="637" t="n"/>
      <c r="I43" s="637" t="n"/>
      <c r="J43" s="637" t="n"/>
      <c r="K43" s="637" t="n"/>
      <c r="L43" s="637" t="n"/>
      <c r="M43" s="637" t="n"/>
      <c r="N43" s="637" t="n"/>
      <c r="O43" s="868" t="n"/>
    </row>
    <row r="44">
      <c r="A44" s="1110" t="inlineStr">
        <is>
          <t>g發生緊急情況：</t>
        </is>
      </c>
      <c r="B44" s="637" t="n"/>
      <c r="C44" s="637" t="n"/>
      <c r="D44" s="637" t="n"/>
      <c r="E44" s="637" t="n"/>
      <c r="F44" s="637" t="n"/>
      <c r="G44" s="637" t="n"/>
      <c r="H44" s="637" t="n"/>
      <c r="I44" s="637" t="n"/>
      <c r="J44" s="637" t="n"/>
      <c r="K44" s="637" t="n"/>
      <c r="L44" s="637" t="n"/>
      <c r="M44" s="637" t="n"/>
      <c r="N44" s="637" t="n"/>
      <c r="O44" s="868" t="n"/>
    </row>
    <row r="45">
      <c r="A45" s="1111" t="inlineStr">
        <is>
          <t xml:space="preserve"> c兒少有以上列舉之保護情事，致其生命身體或自由有立即之危險或有危險之虞者。</t>
        </is>
      </c>
      <c r="B45" s="637" t="n"/>
      <c r="C45" s="637" t="n"/>
      <c r="D45" s="637" t="n"/>
      <c r="E45" s="637" t="n"/>
      <c r="F45" s="637" t="n"/>
      <c r="G45" s="637" t="n"/>
      <c r="H45" s="637" t="n"/>
      <c r="I45" s="637" t="n"/>
      <c r="J45" s="637" t="n"/>
      <c r="K45" s="637" t="n"/>
      <c r="L45" s="637" t="n"/>
      <c r="M45" s="637" t="n"/>
      <c r="N45" s="637" t="n"/>
      <c r="O45" s="868" t="n"/>
    </row>
    <row r="46">
      <c r="A46" s="1111" t="inlineStr">
        <is>
          <t xml:space="preserve"> c兒少未受適當之養育或照顧，致其生命身體或自由有立即之危險或有危險之虞者。</t>
        </is>
      </c>
      <c r="B46" s="637" t="n"/>
      <c r="C46" s="637" t="n"/>
      <c r="D46" s="637" t="n"/>
      <c r="E46" s="637" t="n"/>
      <c r="F46" s="637" t="n"/>
      <c r="G46" s="637" t="n"/>
      <c r="H46" s="637" t="n"/>
      <c r="I46" s="637" t="n"/>
      <c r="J46" s="637" t="n"/>
      <c r="K46" s="637" t="n"/>
      <c r="L46" s="637" t="n"/>
      <c r="M46" s="637" t="n"/>
      <c r="N46" s="637" t="n"/>
      <c r="O46" s="868" t="n"/>
    </row>
    <row r="47">
      <c r="A47" s="1111" t="inlineStr">
        <is>
          <t xml:space="preserve"> c兒少有立即接受診治之必要，但未就醫者，致其生命身體或自由有立即之危險或有危險之虞者。</t>
        </is>
      </c>
      <c r="B47" s="637" t="n"/>
      <c r="C47" s="637" t="n"/>
      <c r="D47" s="637" t="n"/>
      <c r="E47" s="637" t="n"/>
      <c r="F47" s="637" t="n"/>
      <c r="G47" s="637" t="n"/>
      <c r="H47" s="637" t="n"/>
      <c r="I47" s="637" t="n"/>
      <c r="J47" s="637" t="n"/>
      <c r="K47" s="637" t="n"/>
      <c r="L47" s="637" t="n"/>
      <c r="M47" s="637" t="n"/>
      <c r="N47" s="637" t="n"/>
      <c r="O47" s="868" t="n"/>
    </row>
    <row r="48" ht="17.25" customHeight="1" s="683" thickBot="1">
      <c r="A48" s="1125" t="inlineStr">
        <is>
          <t xml:space="preserve"> c兒少遭受其他迫害，致其其生命身體或自由有立即之危險或有危險之虞者。</t>
        </is>
      </c>
      <c r="B48" s="756" t="n"/>
      <c r="C48" s="756" t="n"/>
      <c r="D48" s="756" t="n"/>
      <c r="E48" s="756" t="n"/>
      <c r="F48" s="756" t="n"/>
      <c r="G48" s="756" t="n"/>
      <c r="H48" s="756" t="n"/>
      <c r="I48" s="756" t="n"/>
      <c r="J48" s="756" t="n"/>
      <c r="K48" s="756" t="n"/>
      <c r="L48" s="756" t="n"/>
      <c r="M48" s="756" t="n"/>
      <c r="N48" s="756" t="n"/>
      <c r="O48" s="1098" t="n"/>
    </row>
    <row r="49" ht="16.5" customHeight="1" s="683">
      <c r="A49" s="1122" t="inlineStr">
        <is>
          <t>第54條  高風險家庭</t>
        </is>
      </c>
      <c r="B49" s="1123" t="n"/>
      <c r="C49" s="1123" t="n"/>
      <c r="D49" s="1123" t="n"/>
      <c r="E49" s="1123" t="n"/>
      <c r="F49" s="1123" t="n"/>
      <c r="G49" s="1123" t="n"/>
      <c r="H49" s="1123" t="n"/>
      <c r="I49" s="1123" t="n"/>
      <c r="J49" s="1123" t="n"/>
      <c r="K49" s="1123" t="n"/>
      <c r="L49" s="1123" t="n"/>
      <c r="M49" s="1123" t="n"/>
      <c r="N49" s="1123" t="n"/>
      <c r="O49" s="1124" t="n"/>
    </row>
    <row r="50" ht="27" customFormat="1" customHeight="1" s="33">
      <c r="A50" s="1093" t="inlineStr">
        <is>
          <t>□家庭成員關係紊亂或家庭衝突：如家中成人時常劇烈爭吵、無婚姻關係帶年幼子女與人同居、或有離家出走之念頭者等，以致影響兒少日常生活食衣住行育醫等照顧者功能者。</t>
        </is>
      </c>
      <c r="B50" s="637" t="n"/>
      <c r="C50" s="637" t="n"/>
      <c r="D50" s="637" t="n"/>
      <c r="E50" s="637" t="n"/>
      <c r="F50" s="637" t="n"/>
      <c r="G50" s="637" t="n"/>
      <c r="H50" s="637" t="n"/>
      <c r="I50" s="637" t="n"/>
      <c r="J50" s="637" t="n"/>
      <c r="K50" s="637" t="n"/>
      <c r="L50" s="637" t="n"/>
      <c r="M50" s="637" t="n"/>
      <c r="N50" s="637" t="n"/>
      <c r="O50" s="868" t="n"/>
    </row>
    <row r="51" ht="27" customFormat="1" customHeight="1" s="33">
      <c r="A51" s="1093" t="inlineStr">
        <is>
          <t>□家中兒童少年父母或主要照顧者罹患精神疾病、酒癮、藥癮並未就醫或未持續就醫，以致影響兒少日常生活食衣住行育醫等照顧者功能者。</t>
        </is>
      </c>
      <c r="B51" s="637" t="n"/>
      <c r="C51" s="637" t="n"/>
      <c r="D51" s="637" t="n"/>
      <c r="E51" s="637" t="n"/>
      <c r="F51" s="637" t="n"/>
      <c r="G51" s="637" t="n"/>
      <c r="H51" s="637" t="n"/>
      <c r="I51" s="637" t="n"/>
      <c r="J51" s="637" t="n"/>
      <c r="K51" s="637" t="n"/>
      <c r="L51" s="637" t="n"/>
      <c r="M51" s="637" t="n"/>
      <c r="N51" s="637" t="n"/>
      <c r="O51" s="868" t="n"/>
    </row>
    <row r="52" ht="27" customFormat="1" customHeight="1" s="33">
      <c r="A52" s="1093" t="inlineStr">
        <is>
          <t>□家中兒童少年父母或主要照顧者有自殺風險個案，尚未強迫、引誘、容留或媒介兒童及少年為自殺行為，惟影響兒少日常生活食衣住行育醫等照顧者功能者。</t>
        </is>
      </c>
      <c r="B52" s="637" t="n"/>
      <c r="C52" s="637" t="n"/>
      <c r="D52" s="637" t="n"/>
      <c r="E52" s="637" t="n"/>
      <c r="F52" s="637" t="n"/>
      <c r="G52" s="637" t="n"/>
      <c r="H52" s="637" t="n"/>
      <c r="I52" s="637" t="n"/>
      <c r="J52" s="637" t="n"/>
      <c r="K52" s="637" t="n"/>
      <c r="L52" s="637" t="n"/>
      <c r="M52" s="637" t="n"/>
      <c r="N52" s="637" t="n"/>
      <c r="O52" s="868" t="n"/>
    </row>
    <row r="53" ht="18" customFormat="1" customHeight="1" s="33">
      <c r="A53" s="1093" t="inlineStr">
        <is>
          <t>□因貧困、單親、隔代教養或其他不利因素，以致影響兒少日常生活食衣住行育醫等照顧者功能者。</t>
        </is>
      </c>
      <c r="B53" s="637" t="n"/>
      <c r="C53" s="637" t="n"/>
      <c r="D53" s="637" t="n"/>
      <c r="E53" s="637" t="n"/>
      <c r="F53" s="637" t="n"/>
      <c r="G53" s="637" t="n"/>
      <c r="H53" s="637" t="n"/>
      <c r="I53" s="637" t="n"/>
      <c r="J53" s="637" t="n"/>
      <c r="K53" s="637" t="n"/>
      <c r="L53" s="637" t="n"/>
      <c r="M53" s="637" t="n"/>
      <c r="N53" s="637" t="n"/>
      <c r="O53" s="868" t="n"/>
    </row>
    <row r="54" ht="27" customFormat="1" customHeight="1" s="33">
      <c r="A54" s="1093" t="inlineStr">
        <is>
          <t>□非自願性失業或重複失業者：負擔家計者遭裁員、資遣、強迫退休等，以致影響兒少日常生活食衣住行育醫等照顧者功能者。</t>
        </is>
      </c>
      <c r="B54" s="637" t="n"/>
      <c r="C54" s="637" t="n"/>
      <c r="D54" s="637" t="n"/>
      <c r="E54" s="637" t="n"/>
      <c r="F54" s="637" t="n"/>
      <c r="G54" s="637" t="n"/>
      <c r="H54" s="637" t="n"/>
      <c r="I54" s="637" t="n"/>
      <c r="J54" s="637" t="n"/>
      <c r="K54" s="637" t="n"/>
      <c r="L54" s="637" t="n"/>
      <c r="M54" s="637" t="n"/>
      <c r="N54" s="637" t="n"/>
      <c r="O54" s="868" t="n"/>
    </row>
    <row r="55" ht="17.25" customFormat="1" customHeight="1" s="33" thickBot="1">
      <c r="A55" s="1097" t="inlineStr">
        <is>
          <t>□負擔家計者死亡、出走、重病、入獄服刑等，以致影響兒少日常生活食衣住行育醫等照顧者功能者。</t>
        </is>
      </c>
      <c r="B55" s="756" t="n"/>
      <c r="C55" s="756" t="n"/>
      <c r="D55" s="756" t="n"/>
      <c r="E55" s="756" t="n"/>
      <c r="F55" s="756" t="n"/>
      <c r="G55" s="756" t="n"/>
      <c r="H55" s="756" t="n"/>
      <c r="I55" s="756" t="n"/>
      <c r="J55" s="756" t="n"/>
      <c r="K55" s="756" t="n"/>
      <c r="L55" s="756" t="n"/>
      <c r="M55" s="756" t="n"/>
      <c r="N55" s="756" t="n"/>
      <c r="O55" s="1098" t="n"/>
    </row>
    <row r="56">
      <c r="A56" s="1211" t="n"/>
      <c r="B56" s="1211" t="n"/>
      <c r="C56" s="1211" t="n"/>
      <c r="D56" s="1211" t="n"/>
      <c r="E56" s="1211" t="n"/>
      <c r="F56" s="1211" t="n"/>
      <c r="G56" s="1211" t="n"/>
      <c r="H56" s="1211" t="n"/>
      <c r="I56" s="1211" t="n"/>
      <c r="J56" s="1211" t="n"/>
      <c r="K56" s="1211" t="n"/>
      <c r="L56" s="1211" t="n"/>
      <c r="M56" s="1211" t="n"/>
      <c r="N56" s="1211" t="n"/>
      <c r="O56" s="1211" t="n"/>
    </row>
    <row r="57">
      <c r="A57" s="207" t="n"/>
    </row>
  </sheetData>
  <mergeCells count="90">
    <mergeCell ref="G21:H21"/>
    <mergeCell ref="A50:O50"/>
    <mergeCell ref="M21:O21"/>
    <mergeCell ref="A55:O55"/>
    <mergeCell ref="C13:O13"/>
    <mergeCell ref="D9:F9"/>
    <mergeCell ref="A32:O32"/>
    <mergeCell ref="F25:I25"/>
    <mergeCell ref="C15:O15"/>
    <mergeCell ref="A29:O29"/>
    <mergeCell ref="A38:O38"/>
    <mergeCell ref="K10:M10"/>
    <mergeCell ref="G8:J8"/>
    <mergeCell ref="A2:A5"/>
    <mergeCell ref="D23:O23"/>
    <mergeCell ref="J25:N25"/>
    <mergeCell ref="A44:O44"/>
    <mergeCell ref="A31:O31"/>
    <mergeCell ref="A40:O40"/>
    <mergeCell ref="G10:J10"/>
    <mergeCell ref="C16:O16"/>
    <mergeCell ref="A51:O51"/>
    <mergeCell ref="K9:M9"/>
    <mergeCell ref="G22:H22"/>
    <mergeCell ref="C3:D3"/>
    <mergeCell ref="A25:B26"/>
    <mergeCell ref="C25:E25"/>
    <mergeCell ref="N7:O7"/>
    <mergeCell ref="M22:O22"/>
    <mergeCell ref="A27:O27"/>
    <mergeCell ref="K8:M8"/>
    <mergeCell ref="A42:O42"/>
    <mergeCell ref="A47:O47"/>
    <mergeCell ref="L2:O2"/>
    <mergeCell ref="K7:M7"/>
    <mergeCell ref="J26:N26"/>
    <mergeCell ref="C14:O14"/>
    <mergeCell ref="A28:O28"/>
    <mergeCell ref="C4:O4"/>
    <mergeCell ref="G7:J7"/>
    <mergeCell ref="A48:O48"/>
    <mergeCell ref="A30:O30"/>
    <mergeCell ref="N6:O6"/>
    <mergeCell ref="C26:E26"/>
    <mergeCell ref="B11:B19"/>
    <mergeCell ref="D21:F21"/>
    <mergeCell ref="A54:O54"/>
    <mergeCell ref="H3:K3"/>
    <mergeCell ref="A41:O41"/>
    <mergeCell ref="C17:O17"/>
    <mergeCell ref="D7:F7"/>
    <mergeCell ref="G9:J9"/>
    <mergeCell ref="C19:O19"/>
    <mergeCell ref="A33:O33"/>
    <mergeCell ref="A6:A24"/>
    <mergeCell ref="D8:F8"/>
    <mergeCell ref="N8:O8"/>
    <mergeCell ref="A53:O53"/>
    <mergeCell ref="A35:O35"/>
    <mergeCell ref="C23:C24"/>
    <mergeCell ref="C5:O5"/>
    <mergeCell ref="C2:G2"/>
    <mergeCell ref="N10:O10"/>
    <mergeCell ref="C20:O20"/>
    <mergeCell ref="A34:O34"/>
    <mergeCell ref="A39:O39"/>
    <mergeCell ref="N9:O9"/>
    <mergeCell ref="I21:L21"/>
    <mergeCell ref="A36:O36"/>
    <mergeCell ref="D22:F22"/>
    <mergeCell ref="H2:K2"/>
    <mergeCell ref="A1:O1"/>
    <mergeCell ref="C12:O12"/>
    <mergeCell ref="A45:O45"/>
    <mergeCell ref="L3:N3"/>
    <mergeCell ref="D6:F6"/>
    <mergeCell ref="A37:O37"/>
    <mergeCell ref="A46:O46"/>
    <mergeCell ref="C18:O18"/>
    <mergeCell ref="A43:O43"/>
    <mergeCell ref="D24:O24"/>
    <mergeCell ref="A52:O52"/>
    <mergeCell ref="K6:M6"/>
    <mergeCell ref="E3:G3"/>
    <mergeCell ref="D10:F10"/>
    <mergeCell ref="I22:L22"/>
    <mergeCell ref="G6:J6"/>
    <mergeCell ref="F26:I26"/>
    <mergeCell ref="A49:O49"/>
    <mergeCell ref="C11:O11"/>
  </mergeCells>
  <pageMargins left="0.2083333333333333" right="0.3958333333333333" top="0.75" bottom="0.75" header="0.3" footer="0.3"/>
  <pageSetup orientation="portrait" paperSize="9"/>
</worksheet>
</file>

<file path=xl/worksheets/sheet40.xml><?xml version="1.0" encoding="utf-8"?>
<worksheet xmlns="http://schemas.openxmlformats.org/spreadsheetml/2006/main">
  <sheetPr codeName="工作表35">
    <tabColor theme="9"/>
    <outlinePr summaryBelow="1" summaryRight="1"/>
    <pageSetUpPr/>
  </sheetPr>
  <dimension ref="A1:L37"/>
  <sheetViews>
    <sheetView view="pageLayout" topLeftCell="A4" zoomScaleNormal="100" workbookViewId="0">
      <selection activeCell="E5" sqref="E5:I6"/>
    </sheetView>
  </sheetViews>
  <sheetFormatPr baseColWidth="8" defaultColWidth="9" defaultRowHeight="16.5"/>
  <cols>
    <col width="3.25" customWidth="1" style="593" min="1" max="1"/>
    <col width="9.5" customWidth="1" style="593" min="2" max="2"/>
    <col width="6.125" customWidth="1" style="593" min="3" max="3"/>
    <col width="13" customWidth="1" style="593" min="4" max="4"/>
    <col width="11" customWidth="1" style="593" min="5" max="5"/>
    <col width="6.875" customWidth="1" style="593" min="6" max="6"/>
    <col width="12.5" customWidth="1" style="593" min="7" max="7"/>
    <col width="2.375" customWidth="1" style="593" min="8" max="8"/>
    <col width="3.25" customWidth="1" style="593" min="9" max="9"/>
    <col width="9.25" customWidth="1" style="593" min="10" max="10"/>
    <col width="11" customWidth="1" style="593" min="11" max="11"/>
    <col width="6.875" customWidth="1" style="593" min="12" max="12"/>
    <col width="9" customWidth="1" style="593" min="13" max="14"/>
    <col width="9" customWidth="1" style="593" min="15" max="16384"/>
  </cols>
  <sheetData>
    <row r="1" ht="28.35" customHeight="1" s="683">
      <c r="A1" s="203" t="inlineStr">
        <is>
          <t>毒品案件被告通聯紀錄表</t>
        </is>
      </c>
      <c r="F1" s="1159" t="inlineStr">
        <is>
          <t>(甲式102.5版)</t>
        </is>
      </c>
    </row>
    <row r="2" ht="14.1" customHeight="1" s="683" thickBot="1">
      <c r="A2" s="203" t="n"/>
      <c r="F2" s="1159" t="n"/>
      <c r="G2" s="1159" t="n"/>
    </row>
    <row r="3" ht="59.45" customHeight="1" s="683" thickBot="1" thickTop="1">
      <c r="A3" s="1143" t="n"/>
      <c r="D3" s="442" t="n"/>
      <c r="E3" s="442" t="n"/>
      <c r="J3" s="202" t="inlineStr">
        <is>
          <t>移送
單位</t>
        </is>
      </c>
      <c r="K3" s="201" t="n"/>
      <c r="L3" s="200" t="n"/>
    </row>
    <row r="4" ht="36.75" customHeight="1" s="683" thickBot="1" thickTop="1">
      <c r="A4" s="1155" t="inlineStr">
        <is>
          <t>被告姓名</t>
        </is>
      </c>
      <c r="B4" s="1147" t="n"/>
      <c r="C4" s="1146">
        <f>word用!$H$2</f>
        <v/>
      </c>
      <c r="D4" s="1147" t="n"/>
      <c r="E4" s="1148" t="inlineStr">
        <is>
          <t>被告攜帶手機共 1 支
(每支填寫一張本表)</t>
        </is>
      </c>
      <c r="F4" s="920" t="n"/>
      <c r="G4" s="920" t="n"/>
      <c r="H4" s="920" t="n"/>
      <c r="I4" s="920" t="n"/>
      <c r="J4" s="917" t="inlineStr">
        <is>
          <t>填製
單位：</t>
        </is>
      </c>
      <c r="K4" s="1157">
        <f>CONCATENATE(輸入!$S$19,輸入!$T$19)</f>
        <v/>
      </c>
      <c r="L4" s="1158" t="n"/>
    </row>
    <row r="5" ht="28.35" customHeight="1" s="683" thickBot="1" thickTop="1">
      <c r="A5" s="1152" t="inlineStr">
        <is>
          <t>身分證號</t>
        </is>
      </c>
      <c r="B5" s="576" t="n"/>
      <c r="C5" s="664">
        <f>UPPER(VLOOKUP($C$4,個資,2,FALSE))</f>
        <v/>
      </c>
      <c r="D5" s="576" t="n"/>
      <c r="E5" s="1153">
        <f>CONCATENATE("手機門號：",word用!$K$2)</f>
        <v/>
      </c>
      <c r="F5" s="831" t="n"/>
      <c r="G5" s="831" t="n"/>
      <c r="H5" s="831" t="n"/>
      <c r="I5" s="832" t="n"/>
      <c r="J5" s="1149" t="n"/>
      <c r="K5" s="1141">
        <f>CONCATENATE(輸入!$S$20,輸入!$T$20)</f>
        <v/>
      </c>
      <c r="L5" s="1142" t="n"/>
    </row>
    <row r="6" ht="28.35" customHeight="1" s="683" thickBot="1" thickTop="1">
      <c r="A6" s="1144" t="inlineStr">
        <is>
          <t>綽 號</t>
        </is>
      </c>
      <c r="B6" s="1145" t="n"/>
      <c r="C6" s="199" t="n"/>
      <c r="D6" s="198" t="n"/>
      <c r="E6" s="918" t="n"/>
      <c r="F6" s="851" t="n"/>
      <c r="G6" s="851" t="n"/>
      <c r="H6" s="851" t="n"/>
      <c r="I6" s="852" t="n"/>
      <c r="J6" s="1139" t="inlineStr">
        <is>
          <t>製表人：</t>
        </is>
      </c>
      <c r="K6" s="920" t="n"/>
      <c r="L6" s="921" t="n"/>
    </row>
    <row r="7" ht="33.95" customHeight="1" s="683" thickTop="1">
      <c r="B7" s="439" t="n"/>
      <c r="C7" s="197" t="n"/>
      <c r="D7" s="442" t="n"/>
      <c r="E7" s="442" t="n"/>
    </row>
    <row r="8" ht="39.6" customHeight="1" s="683">
      <c r="A8" s="196" t="n"/>
      <c r="B8" s="1150" t="inlineStr">
        <is>
          <t>被告遭查獲前之最近「撥出」之對方門號</t>
        </is>
      </c>
      <c r="C8" s="579" t="n"/>
      <c r="D8" s="579" t="n"/>
      <c r="E8" s="579" t="n"/>
      <c r="F8" s="576" t="n"/>
      <c r="G8" s="1150" t="inlineStr">
        <is>
          <t>被告遭查獲前之最近「接收」之對方門號</t>
        </is>
      </c>
      <c r="H8" s="579" t="n"/>
      <c r="I8" s="579" t="n"/>
      <c r="J8" s="579" t="n"/>
      <c r="K8" s="579" t="n"/>
      <c r="L8" s="576" t="n"/>
    </row>
    <row r="9" ht="28.35" customHeight="1" s="683">
      <c r="A9" s="457" t="n"/>
      <c r="B9" s="1154" t="inlineStr">
        <is>
          <t>對方門號</t>
        </is>
      </c>
      <c r="C9" s="583" t="n"/>
      <c r="D9" s="1160" t="inlineStr">
        <is>
          <t>姓名(綽號)</t>
        </is>
      </c>
      <c r="E9" s="1154" t="inlineStr">
        <is>
          <t>關係</t>
        </is>
      </c>
      <c r="F9" s="1154" t="inlineStr">
        <is>
          <t>毒犯</t>
        </is>
      </c>
      <c r="G9" s="1154" t="inlineStr">
        <is>
          <t>對方門號</t>
        </is>
      </c>
      <c r="H9" s="583" t="n"/>
      <c r="I9" s="1160" t="inlineStr">
        <is>
          <t>姓名(綽號)</t>
        </is>
      </c>
      <c r="J9" s="583" t="n"/>
      <c r="K9" s="195" t="inlineStr">
        <is>
          <t>關係</t>
        </is>
      </c>
      <c r="L9" s="1154" t="inlineStr">
        <is>
          <t>毒犯</t>
        </is>
      </c>
    </row>
    <row r="10" ht="33.95" customHeight="1" s="683">
      <c r="A10" s="581" t="n">
        <v>1</v>
      </c>
      <c r="B10" s="175" t="n"/>
      <c r="C10" s="580" t="n"/>
      <c r="D10" s="664" t="n"/>
      <c r="E10" s="664" t="n"/>
      <c r="F10" s="194" t="inlineStr">
        <is>
          <t>□ 販
□ 吸</t>
        </is>
      </c>
      <c r="G10" s="175" t="n"/>
      <c r="H10" s="580" t="n"/>
      <c r="I10" s="175" t="n"/>
      <c r="J10" s="176" t="n"/>
      <c r="K10" s="42" t="n"/>
      <c r="L10" s="177" t="inlineStr">
        <is>
          <t>□ 販
□ 吸</t>
        </is>
      </c>
    </row>
    <row r="11" ht="33.95" customHeight="1" s="683">
      <c r="A11" s="581" t="n">
        <v>2</v>
      </c>
      <c r="B11" s="191" t="n"/>
      <c r="C11" s="192" t="n"/>
      <c r="D11" s="139" t="n"/>
      <c r="E11" s="177" t="n"/>
      <c r="F11" s="194" t="inlineStr">
        <is>
          <t>□ 販
□ 吸</t>
        </is>
      </c>
      <c r="G11" s="191" t="n"/>
      <c r="H11" s="192" t="n"/>
      <c r="I11" s="191" t="n"/>
      <c r="J11" s="973" t="n"/>
      <c r="K11" s="42" t="n"/>
      <c r="L11" s="177" t="inlineStr">
        <is>
          <t>□ 販
□ 吸</t>
        </is>
      </c>
    </row>
    <row r="12" ht="33.95" customHeight="1" s="683">
      <c r="A12" s="581" t="n">
        <v>3</v>
      </c>
      <c r="B12" s="191" t="n"/>
      <c r="C12" s="192" t="n"/>
      <c r="D12" s="139" t="n"/>
      <c r="E12" s="177" t="n"/>
      <c r="F12" s="194" t="inlineStr">
        <is>
          <t>□ 販
□ 吸</t>
        </is>
      </c>
      <c r="G12" s="191" t="n"/>
      <c r="H12" s="192" t="n"/>
      <c r="I12" s="191" t="n"/>
      <c r="J12" s="973" t="n"/>
      <c r="K12" s="42" t="n"/>
      <c r="L12" s="177" t="inlineStr">
        <is>
          <t>□ 販
□ 吸</t>
        </is>
      </c>
    </row>
    <row r="13" ht="33.95" customHeight="1" s="683">
      <c r="A13" s="581" t="n">
        <v>4</v>
      </c>
      <c r="B13" s="191" t="n"/>
      <c r="C13" s="192" t="n"/>
      <c r="D13" s="139" t="n"/>
      <c r="E13" s="177" t="n"/>
      <c r="F13" s="194" t="inlineStr">
        <is>
          <t>□ 販
□ 吸</t>
        </is>
      </c>
      <c r="G13" s="191" t="n"/>
      <c r="H13" s="192" t="n"/>
      <c r="I13" s="191" t="n"/>
      <c r="J13" s="973" t="n"/>
      <c r="K13" s="42" t="n"/>
      <c r="L13" s="177" t="inlineStr">
        <is>
          <t>□ 販
□ 吸</t>
        </is>
      </c>
    </row>
    <row r="14" ht="33.95" customHeight="1" s="683">
      <c r="A14" s="581" t="n">
        <v>5</v>
      </c>
      <c r="B14" s="191" t="n"/>
      <c r="C14" s="192" t="n"/>
      <c r="D14" s="139" t="n"/>
      <c r="E14" s="177" t="n"/>
      <c r="F14" s="194" t="inlineStr">
        <is>
          <t>□ 販
□ 吸</t>
        </is>
      </c>
      <c r="G14" s="191" t="n"/>
      <c r="H14" s="192" t="n"/>
      <c r="I14" s="191" t="n"/>
      <c r="J14" s="973" t="n"/>
      <c r="K14" s="42" t="n"/>
      <c r="L14" s="177" t="inlineStr">
        <is>
          <t>□ 販
□ 吸</t>
        </is>
      </c>
    </row>
    <row r="15" ht="33.95" customHeight="1" s="683">
      <c r="A15" s="581" t="n">
        <v>6</v>
      </c>
      <c r="B15" s="191" t="n"/>
      <c r="C15" s="192" t="n"/>
      <c r="D15" s="139" t="n"/>
      <c r="E15" s="177" t="n"/>
      <c r="F15" s="194" t="inlineStr">
        <is>
          <t>□ 販
□ 吸</t>
        </is>
      </c>
      <c r="G15" s="191" t="n"/>
      <c r="H15" s="192" t="n"/>
      <c r="I15" s="191" t="n"/>
      <c r="J15" s="973" t="n"/>
      <c r="K15" s="42" t="n"/>
      <c r="L15" s="177" t="inlineStr">
        <is>
          <t>□ 販
□ 吸</t>
        </is>
      </c>
    </row>
    <row r="16" ht="33.95" customHeight="1" s="683">
      <c r="A16" s="581" t="n">
        <v>7</v>
      </c>
      <c r="B16" s="191" t="n"/>
      <c r="C16" s="192" t="n"/>
      <c r="D16" s="139" t="n"/>
      <c r="E16" s="177" t="n"/>
      <c r="F16" s="194" t="inlineStr">
        <is>
          <t>□ 販
□ 吸</t>
        </is>
      </c>
      <c r="G16" s="191" t="n"/>
      <c r="H16" s="192" t="n"/>
      <c r="I16" s="191" t="n"/>
      <c r="J16" s="973" t="n"/>
      <c r="K16" s="42" t="n"/>
      <c r="L16" s="177" t="inlineStr">
        <is>
          <t>□ 販
□ 吸</t>
        </is>
      </c>
    </row>
    <row r="17" ht="33.95" customHeight="1" s="683">
      <c r="A17" s="581" t="n">
        <v>8</v>
      </c>
      <c r="B17" s="191" t="n"/>
      <c r="C17" s="192" t="n"/>
      <c r="D17" s="139" t="n"/>
      <c r="E17" s="177" t="n"/>
      <c r="F17" s="194" t="inlineStr">
        <is>
          <t>□ 販
□ 吸</t>
        </is>
      </c>
      <c r="G17" s="191" t="n"/>
      <c r="H17" s="192" t="n"/>
      <c r="I17" s="191" t="n"/>
      <c r="J17" s="973" t="n"/>
      <c r="K17" s="42" t="n"/>
      <c r="L17" s="177" t="inlineStr">
        <is>
          <t>□ 販
□ 吸</t>
        </is>
      </c>
    </row>
    <row r="18" ht="33.95" customHeight="1" s="683">
      <c r="A18" s="581" t="n">
        <v>9</v>
      </c>
      <c r="B18" s="191" t="n"/>
      <c r="C18" s="192" t="n"/>
      <c r="D18" s="139" t="n"/>
      <c r="E18" s="177" t="n"/>
      <c r="F18" s="194" t="inlineStr">
        <is>
          <t>□ 販
□ 吸</t>
        </is>
      </c>
      <c r="G18" s="191" t="n"/>
      <c r="H18" s="192" t="n"/>
      <c r="I18" s="191" t="n"/>
      <c r="J18" s="973" t="n"/>
      <c r="K18" s="42" t="n"/>
      <c r="L18" s="177" t="inlineStr">
        <is>
          <t>□ 販
□ 吸</t>
        </is>
      </c>
    </row>
    <row r="19" ht="33.95" customHeight="1" s="683">
      <c r="A19" s="581" t="n">
        <v>10</v>
      </c>
      <c r="B19" s="191" t="n"/>
      <c r="C19" s="192" t="n"/>
      <c r="D19" s="139" t="n"/>
      <c r="E19" s="177" t="n"/>
      <c r="F19" s="194" t="inlineStr">
        <is>
          <t>□ 販
□ 吸</t>
        </is>
      </c>
      <c r="G19" s="193" t="n"/>
      <c r="H19" s="192" t="n"/>
      <c r="I19" s="191" t="n"/>
      <c r="J19" s="973" t="n"/>
      <c r="K19" s="42" t="n"/>
      <c r="L19" s="177" t="inlineStr">
        <is>
          <t>□ 販
□ 吸</t>
        </is>
      </c>
    </row>
    <row r="20" ht="113.25" customHeight="1" s="683">
      <c r="A20" s="1151" t="inlineStr">
        <is>
          <t>被告有無供出毒
品上游或其他販
毒者：</t>
        </is>
      </c>
      <c r="B20" s="585" t="n"/>
      <c r="C20" s="586" t="n"/>
      <c r="D20" s="1140" t="inlineStr">
        <is>
          <t>被告供出本件毒品上游：
□ 有(□販賣/□轉讓) □ 無
上游姓名(綽號)：
電話：</t>
        </is>
      </c>
      <c r="E20" s="585" t="n"/>
      <c r="F20" s="585" t="n"/>
      <c r="G20" s="586" t="n"/>
      <c r="H20" s="1140" t="inlineStr">
        <is>
          <t>被告供出其他販毒者：
□ 有 □ 無
上游姓名(綽號)：
電話：</t>
        </is>
      </c>
      <c r="I20" s="585" t="n"/>
      <c r="J20" s="585" t="n"/>
      <c r="K20" s="585" t="n"/>
      <c r="L20" s="586" t="n"/>
    </row>
    <row r="21" ht="28.35" customHeight="1" s="683">
      <c r="A21" s="447" t="n"/>
      <c r="B21" s="447" t="n"/>
      <c r="C21" s="447" t="n"/>
      <c r="D21" s="447" t="n"/>
      <c r="E21" s="985" t="n"/>
      <c r="F21" s="447" t="n"/>
      <c r="G21" s="447" t="n"/>
      <c r="H21" s="447" t="n"/>
      <c r="I21" s="447" t="n"/>
      <c r="J21" s="985" t="n"/>
    </row>
    <row r="22" ht="28.35" customHeight="1" s="683">
      <c r="A22" s="447" t="n"/>
      <c r="B22" s="447" t="n"/>
      <c r="C22" s="1156" t="inlineStr">
        <is>
          <t>(上述資訊請將手機畫面拍照並列印，連同「移送書」影本、「筆錄」正本附於本表後)</t>
        </is>
      </c>
    </row>
    <row r="23">
      <c r="A23" s="447" t="n"/>
      <c r="B23" s="447" t="n"/>
      <c r="C23" s="447" t="n"/>
      <c r="D23" s="447" t="n"/>
      <c r="E23" s="985" t="n"/>
      <c r="F23" s="447" t="n"/>
      <c r="G23" s="447" t="n"/>
      <c r="H23" s="447" t="n"/>
      <c r="I23" s="447" t="n"/>
      <c r="J23" s="985" t="n"/>
    </row>
    <row r="24">
      <c r="A24" s="447" t="n"/>
      <c r="B24" s="447" t="n"/>
      <c r="C24" s="447" t="n"/>
      <c r="D24" s="447" t="n"/>
      <c r="E24" s="985" t="n"/>
      <c r="F24" s="447" t="n"/>
      <c r="G24" s="447" t="n"/>
      <c r="H24" s="447" t="n"/>
      <c r="I24" s="447" t="n"/>
      <c r="J24" s="985" t="n"/>
    </row>
    <row r="25">
      <c r="A25" s="447" t="n"/>
      <c r="B25" s="447" t="n"/>
      <c r="C25" s="447" t="n"/>
      <c r="D25" s="447" t="n"/>
      <c r="E25" s="985" t="n"/>
      <c r="F25" s="447" t="n"/>
      <c r="G25" s="447" t="n"/>
      <c r="H25" s="447" t="n"/>
      <c r="I25" s="447" t="n"/>
      <c r="J25" s="985" t="n"/>
    </row>
    <row r="26">
      <c r="A26" s="447" t="n"/>
      <c r="B26" s="447" t="n"/>
      <c r="C26" s="447" t="n"/>
      <c r="D26" s="447" t="n"/>
      <c r="E26" s="985" t="n"/>
      <c r="F26" s="447" t="n"/>
      <c r="G26" s="447" t="n"/>
      <c r="H26" s="447" t="n"/>
      <c r="I26" s="447" t="n"/>
      <c r="J26" s="985" t="n"/>
    </row>
    <row r="27">
      <c r="A27" s="447" t="n"/>
      <c r="B27" s="447" t="n"/>
      <c r="C27" s="447" t="n"/>
      <c r="D27" s="447" t="n"/>
      <c r="E27" s="985" t="n"/>
      <c r="F27" s="447" t="n"/>
      <c r="G27" s="447" t="n"/>
      <c r="H27" s="447" t="n"/>
      <c r="I27" s="447" t="n"/>
      <c r="J27" s="985" t="n"/>
    </row>
    <row r="28">
      <c r="A28" s="447" t="n"/>
      <c r="B28" s="447" t="n"/>
      <c r="C28" s="447" t="n"/>
      <c r="D28" s="447" t="n"/>
      <c r="E28" s="985" t="n"/>
      <c r="F28" s="447" t="n"/>
      <c r="G28" s="447" t="n"/>
      <c r="H28" s="447" t="n"/>
      <c r="I28" s="447" t="n"/>
      <c r="J28" s="985" t="n"/>
    </row>
    <row r="29">
      <c r="A29" s="447" t="n"/>
      <c r="B29" s="447" t="n"/>
      <c r="C29" s="447" t="n"/>
      <c r="D29" s="447" t="n"/>
      <c r="E29" s="985" t="n"/>
      <c r="F29" s="447" t="n"/>
      <c r="G29" s="447" t="n"/>
      <c r="H29" s="447" t="n"/>
      <c r="I29" s="447" t="n"/>
      <c r="J29" s="985" t="n"/>
    </row>
    <row r="30">
      <c r="A30" s="447" t="n"/>
      <c r="B30" s="447" t="n"/>
      <c r="C30" s="447" t="n"/>
      <c r="D30" s="447" t="n"/>
      <c r="E30" s="985" t="n"/>
      <c r="F30" s="447" t="n"/>
      <c r="G30" s="447" t="n"/>
      <c r="H30" s="447" t="n"/>
      <c r="I30" s="447" t="n"/>
      <c r="J30" s="985" t="n"/>
    </row>
    <row r="31" ht="16.5" customHeight="1" s="683">
      <c r="A31" s="190" t="n"/>
      <c r="B31" s="190" t="n"/>
      <c r="C31" s="601" t="n"/>
      <c r="D31" s="601" t="n"/>
      <c r="E31" s="601" t="n"/>
      <c r="F31" s="601" t="n"/>
      <c r="G31" s="601" t="n"/>
      <c r="H31" s="601" t="n"/>
      <c r="I31" s="601" t="n"/>
      <c r="J31" s="601" t="n"/>
    </row>
    <row r="32" ht="16.5" customHeight="1" s="683">
      <c r="A32" s="190" t="n"/>
      <c r="B32" s="190" t="n"/>
      <c r="C32" s="601" t="n"/>
      <c r="D32" s="601" t="n"/>
      <c r="E32" s="601" t="n"/>
      <c r="F32" s="601" t="n"/>
      <c r="G32" s="601" t="n"/>
      <c r="H32" s="601" t="n"/>
      <c r="I32" s="601" t="n"/>
      <c r="J32" s="601" t="n"/>
    </row>
    <row r="33" ht="16.5" customHeight="1" s="683">
      <c r="A33" s="190" t="n"/>
      <c r="B33" s="190" t="n"/>
      <c r="C33" s="601" t="n"/>
      <c r="D33" s="601" t="n"/>
      <c r="E33" s="601" t="n"/>
      <c r="F33" s="601" t="n"/>
      <c r="G33" s="601" t="n"/>
      <c r="H33" s="601" t="n"/>
      <c r="I33" s="601" t="n"/>
      <c r="J33" s="601" t="n"/>
    </row>
    <row r="34" ht="16.5" customHeight="1" s="683">
      <c r="A34" s="190" t="n"/>
      <c r="B34" s="190" t="n"/>
      <c r="C34" s="601" t="n"/>
      <c r="D34" s="601" t="n"/>
      <c r="E34" s="601" t="n"/>
      <c r="F34" s="601" t="n"/>
      <c r="G34" s="601" t="n"/>
      <c r="H34" s="601" t="n"/>
      <c r="I34" s="601" t="n"/>
      <c r="J34" s="601" t="n"/>
    </row>
    <row r="35">
      <c r="A35" s="149" t="n"/>
      <c r="B35" s="149" t="n"/>
      <c r="C35" s="149" t="n"/>
      <c r="D35" s="149" t="n"/>
      <c r="E35" s="149" t="n"/>
      <c r="F35" s="149" t="n"/>
      <c r="G35" s="149" t="n"/>
      <c r="H35" s="149" t="n"/>
      <c r="I35" s="149" t="n"/>
      <c r="J35" s="149" t="n"/>
    </row>
    <row r="37">
      <c r="A37" s="134" t="n"/>
    </row>
  </sheetData>
  <mergeCells count="22">
    <mergeCell ref="J6:L6"/>
    <mergeCell ref="H20:L20"/>
    <mergeCell ref="C5:D5"/>
    <mergeCell ref="K5:L5"/>
    <mergeCell ref="A3:C3"/>
    <mergeCell ref="A6:B6"/>
    <mergeCell ref="C4:D4"/>
    <mergeCell ref="E4:I4"/>
    <mergeCell ref="D20:G20"/>
    <mergeCell ref="J4:J5"/>
    <mergeCell ref="B8:F8"/>
    <mergeCell ref="A20:C20"/>
    <mergeCell ref="A5:B5"/>
    <mergeCell ref="B9:C9"/>
    <mergeCell ref="E5:I6"/>
    <mergeCell ref="A4:B4"/>
    <mergeCell ref="C22:L22"/>
    <mergeCell ref="G8:L8"/>
    <mergeCell ref="K4:L4"/>
    <mergeCell ref="G9:H9"/>
    <mergeCell ref="F1:G1"/>
    <mergeCell ref="I9:J9"/>
  </mergeCells>
  <printOptions horizontalCentered="1"/>
  <pageMargins left="0.3937007874015748" right="0.3937007874015748" top="0.3937007874015748" bottom="0.5905511811023623" header="0.5905511811023623" footer="0.7086614173228347"/>
  <pageSetup orientation="portrait" paperSize="9"/>
</worksheet>
</file>

<file path=xl/worksheets/sheet41.xml><?xml version="1.0" encoding="utf-8"?>
<worksheet xmlns="http://schemas.openxmlformats.org/spreadsheetml/2006/main">
  <sheetPr codeName="工作表32">
    <tabColor rgb="FF92D050"/>
    <outlinePr summaryBelow="1" summaryRight="1"/>
    <pageSetUpPr/>
  </sheetPr>
  <dimension ref="A1:H19"/>
  <sheetViews>
    <sheetView view="pageLayout" topLeftCell="A10" zoomScaleNormal="100" workbookViewId="0">
      <selection activeCell="C8" sqref="C8:H8"/>
    </sheetView>
  </sheetViews>
  <sheetFormatPr baseColWidth="8" defaultColWidth="9" defaultRowHeight="16.5"/>
  <cols>
    <col width="6" customWidth="1" style="593" min="1" max="1"/>
    <col width="6.5" customWidth="1" style="593" min="2" max="2"/>
    <col width="9.5" customWidth="1" style="593" min="3" max="3"/>
    <col width="14.75" customWidth="1" style="593" min="4" max="4"/>
    <col width="6.875" customWidth="1" style="593" min="5" max="5"/>
    <col width="13.75" customWidth="1" style="593" min="6" max="6"/>
    <col width="14.5" customWidth="1" style="593" min="7" max="7"/>
    <col width="6.25" customWidth="1" style="593" min="8" max="8"/>
    <col width="9" customWidth="1" style="593" min="9" max="10"/>
    <col width="9" customWidth="1" style="593" min="11" max="16384"/>
  </cols>
  <sheetData>
    <row r="1" ht="33.95" customFormat="1" customHeight="1" s="1166">
      <c r="A1" s="352" t="n"/>
      <c r="B1" s="1165" t="inlineStr">
        <is>
          <t>臺北市政府消防局救護資料申請書</t>
        </is>
      </c>
      <c r="H1" s="352" t="n"/>
    </row>
    <row r="2" ht="5.25" customFormat="1" customHeight="1" s="1166" thickBot="1">
      <c r="B2" s="229" t="n"/>
      <c r="C2" s="229" t="n"/>
      <c r="D2" s="229" t="n"/>
      <c r="E2" s="229" t="n"/>
      <c r="F2" s="229" t="n"/>
      <c r="G2" s="229" t="n"/>
    </row>
    <row r="3" ht="33.95" customHeight="1" s="683" thickBot="1">
      <c r="A3" s="1168" t="inlineStr">
        <is>
          <t>申請單位</t>
        </is>
      </c>
      <c r="B3" s="1163" t="n"/>
      <c r="C3" s="1179">
        <f>CONCATENATE(輸入!$S$18,輸入!$T$18,輸入!$S$19,輸入!$T$19,輸入!$S$20,輸入!$T$20)</f>
        <v/>
      </c>
      <c r="D3" s="802" t="n"/>
      <c r="E3" s="802" t="n"/>
      <c r="F3" s="802" t="n"/>
      <c r="G3" s="802" t="n"/>
      <c r="H3" s="803" t="n"/>
    </row>
    <row r="4" ht="42.6" customHeight="1" s="683" thickBot="1">
      <c r="A4" s="1178" t="inlineStr">
        <is>
          <t>申 請 人
姓    名</t>
        </is>
      </c>
      <c r="B4" s="1163" t="n"/>
      <c r="C4" s="1181">
        <f>CONCATENATE("警員  ",輸入!$U$24,)</f>
        <v/>
      </c>
      <c r="D4" s="802" t="n"/>
      <c r="E4" s="803" t="n"/>
      <c r="F4" s="230" t="inlineStr">
        <is>
          <t>聯絡電話</t>
        </is>
      </c>
      <c r="G4" s="1181">
        <f>輸入!$T$21</f>
        <v/>
      </c>
      <c r="H4" s="803" t="n"/>
    </row>
    <row r="5" ht="42.6" customHeight="1" s="683" thickBot="1">
      <c r="A5" s="1168" t="inlineStr">
        <is>
          <t>案件時間</t>
        </is>
      </c>
      <c r="B5" s="1163" t="n"/>
      <c r="C5" s="1181">
        <f>下拉用!$J$9</f>
        <v/>
      </c>
      <c r="D5" s="802" t="n"/>
      <c r="E5" s="802" t="n"/>
      <c r="F5" s="802" t="n"/>
      <c r="G5" s="802" t="n"/>
      <c r="H5" s="803" t="n"/>
    </row>
    <row r="6" ht="42.6" customHeight="1" s="683" thickBot="1">
      <c r="A6" s="1168" t="inlineStr">
        <is>
          <t>案件地址</t>
        </is>
      </c>
      <c r="B6" s="1163" t="n"/>
      <c r="C6" s="1181">
        <f>輸入!$C$7</f>
        <v/>
      </c>
      <c r="D6" s="802" t="n"/>
      <c r="E6" s="802" t="n"/>
      <c r="F6" s="802" t="n"/>
      <c r="G6" s="802" t="n"/>
      <c r="H6" s="803" t="n"/>
    </row>
    <row r="7" ht="16.5" customHeight="1" s="683">
      <c r="A7" s="1170" t="inlineStr">
        <is>
          <t>申請用途</t>
        </is>
      </c>
      <c r="B7" s="848" t="n"/>
      <c r="C7" s="1176" t="inlineStr">
        <is>
          <t>□現場死亡(未送醫)佐證</t>
        </is>
      </c>
      <c r="D7" s="734" t="n"/>
      <c r="E7" s="734" t="n"/>
      <c r="F7" s="734" t="n"/>
      <c r="G7" s="734" t="n"/>
      <c r="H7" s="735" t="n"/>
    </row>
    <row r="8" ht="17.25" customHeight="1" s="683">
      <c r="A8" s="725" t="n"/>
      <c r="B8" s="728" t="n"/>
      <c r="C8" s="1174">
        <f>IF('呈報單 多人'!$G$44="刑事相驗","■刑事相驗佐證","□刑事相驗佐證")</f>
        <v/>
      </c>
      <c r="H8" s="728" t="n"/>
    </row>
    <row r="9" ht="35.25" customHeight="1" s="683" thickBot="1">
      <c r="A9" s="844" t="n"/>
      <c r="B9" s="800" t="n"/>
      <c r="C9" s="1164" t="inlineStr">
        <is>
          <t>□其他(辦案需求)：________________________________________
    (當事人未死亡請勾選此項)</t>
        </is>
      </c>
      <c r="D9" s="771" t="n"/>
      <c r="E9" s="771" t="n"/>
      <c r="F9" s="771" t="n"/>
      <c r="G9" s="771" t="n"/>
      <c r="H9" s="772" t="n"/>
    </row>
    <row r="10" ht="42.6" customHeight="1" s="683" thickBot="1">
      <c r="A10" s="1168" t="inlineStr">
        <is>
          <t>申請資料</t>
        </is>
      </c>
      <c r="B10" s="1163" t="n"/>
      <c r="C10" s="1161" t="inlineStr">
        <is>
          <t>■救護紀錄表
■受理報案紀錄</t>
        </is>
      </c>
      <c r="D10" s="1162" t="n"/>
      <c r="E10" s="1162" t="n"/>
      <c r="F10" s="1162" t="n"/>
      <c r="G10" s="1162" t="n"/>
      <c r="H10" s="1163" t="n"/>
    </row>
    <row r="11" ht="19.7" customHeight="1" s="683" thickBot="1">
      <c r="A11" s="1170" t="inlineStr">
        <is>
          <t>領取方式</t>
        </is>
      </c>
      <c r="B11" s="848" t="n"/>
      <c r="C11" s="1169" t="inlineStr">
        <is>
          <t>□親自領取：臺北市政府消防局(臺北市信義區松仁路1號)</t>
        </is>
      </c>
      <c r="D11" s="802" t="n"/>
      <c r="E11" s="802" t="n"/>
      <c r="F11" s="802" t="n"/>
      <c r="G11" s="802" t="n"/>
      <c r="H11" s="803" t="n"/>
    </row>
    <row r="12" ht="19.7" customHeight="1" s="683">
      <c r="A12" s="725" t="n"/>
      <c r="B12" s="728" t="n"/>
      <c r="C12" s="1167" t="inlineStr">
        <is>
          <t xml:space="preserve">□公務信箱：________________________________________                                          
                                                                   </t>
        </is>
      </c>
      <c r="D12" s="734" t="n"/>
      <c r="E12" s="734" t="n"/>
      <c r="F12" s="734" t="n"/>
      <c r="G12" s="734" t="n"/>
      <c r="H12" s="735" t="n"/>
    </row>
    <row r="13" ht="19.7" customFormat="1" customHeight="1" s="778" thickBot="1">
      <c r="A13" s="844" t="n"/>
      <c r="B13" s="800" t="n"/>
      <c r="C13" s="1177">
        <f>CONCATENATE("■傳真電話：",輸入!$T$22)</f>
        <v/>
      </c>
      <c r="D13" s="771" t="n"/>
      <c r="E13" s="771" t="n"/>
      <c r="F13" s="771" t="n"/>
      <c r="G13" s="771" t="n"/>
      <c r="H13" s="772" t="n"/>
    </row>
    <row r="14" ht="40.5" customHeight="1" s="683" thickBot="1">
      <c r="A14" s="1178" t="inlineStr">
        <is>
          <t>備註
(請勾選)</t>
        </is>
      </c>
      <c r="B14" s="1163" t="n"/>
      <c r="C14" s="1161" t="inlineStr">
        <is>
          <t>■當事人已確定死亡，不受個人資料保護法規範。
□當事人未死亡，申請單位遵守個人資料保護法規範。</t>
        </is>
      </c>
      <c r="D14" s="1162" t="n"/>
      <c r="E14" s="1162" t="n"/>
      <c r="F14" s="1162" t="n"/>
      <c r="G14" s="1162" t="n"/>
      <c r="H14" s="1163" t="n"/>
    </row>
    <row r="15" ht="40.5" customHeight="1" s="683" thickBot="1">
      <c r="A15" s="351" t="inlineStr">
        <is>
          <t>此致</t>
        </is>
      </c>
      <c r="B15" s="346" t="n"/>
      <c r="C15" s="1180" t="inlineStr">
        <is>
          <t xml:space="preserve"> 臺北市政府消防局</t>
        </is>
      </c>
      <c r="D15" s="802" t="n"/>
      <c r="E15" s="802" t="n"/>
      <c r="F15" s="773" t="n"/>
      <c r="G15" s="773" t="n"/>
      <c r="H15" s="462" t="n"/>
    </row>
    <row r="16" ht="40.5" customHeight="1" s="683" thickBot="1">
      <c r="A16" s="1171" t="inlineStr">
        <is>
          <t>申請人：</t>
        </is>
      </c>
      <c r="B16" s="802" t="n"/>
      <c r="C16" s="1172">
        <f>CONCATENATE(輸入!$T$24," ",輸入!$U$24,)</f>
        <v/>
      </c>
      <c r="D16" s="802" t="n"/>
      <c r="E16" s="773" t="inlineStr">
        <is>
          <t>申請單位主管：</t>
        </is>
      </c>
      <c r="F16" s="773" t="n"/>
      <c r="G16" s="773" t="n"/>
      <c r="H16" s="462" t="n"/>
    </row>
    <row r="17" ht="39.75" customHeight="1" s="683" thickBot="1">
      <c r="A17" s="1173" t="inlineStr">
        <is>
          <t xml:space="preserve">申請日期(年/月/日)：        </t>
        </is>
      </c>
      <c r="B17" s="802" t="n"/>
      <c r="C17" s="802" t="n"/>
      <c r="D17" s="1338">
        <f>TODAY()</f>
        <v/>
      </c>
      <c r="E17" s="347" t="inlineStr">
        <is>
          <t>申請單位：</t>
        </is>
      </c>
      <c r="F17" s="348" t="n"/>
      <c r="G17" s="349" t="n"/>
      <c r="H17" s="350" t="n"/>
    </row>
    <row r="18" ht="18" customHeight="1" s="683">
      <c r="A18" s="1175" t="inlineStr">
        <is>
          <t xml:space="preserve">說明：
</t>
        </is>
      </c>
      <c r="C18" s="231" t="n"/>
      <c r="D18" s="231" t="n"/>
      <c r="E18" s="231" t="n"/>
      <c r="F18" s="231" t="n"/>
      <c r="G18" s="231" t="n"/>
      <c r="H18" s="231" t="n"/>
    </row>
    <row r="19" ht="104.25" customHeight="1" s="683">
      <c r="B19" s="1182" t="inlineStr">
        <is>
          <t>1.  本表僅提供警察機關申請救護案件資料使用，當事人未死亡之個案，警察機關應
    派員至本局親自領取，以符合個人資料保謢法規範。
2.  請附上申請人服務證件，申請單位請蓋機關章(圓戳章可)；案內公務信箱係指各
    單位專用之信箱。
3.  申請表填具後，上班時間(8時30分至17時30分)請傳真至緊急救護科：
    (02)2345-6386；查詢電話(02)2729-7668轉6415；非上班時間請傳真至救災救護
    指揮中心：(02)2758-7865；查詢電話(02)2729-7668轉9。</t>
        </is>
      </c>
    </row>
  </sheetData>
  <mergeCells count="28">
    <mergeCell ref="C10:H10"/>
    <mergeCell ref="C9:H9"/>
    <mergeCell ref="B1:G1"/>
    <mergeCell ref="C12:H12"/>
    <mergeCell ref="A6:B6"/>
    <mergeCell ref="C11:H11"/>
    <mergeCell ref="A11:B13"/>
    <mergeCell ref="A16:B16"/>
    <mergeCell ref="C16:D16"/>
    <mergeCell ref="A17:C17"/>
    <mergeCell ref="C8:H8"/>
    <mergeCell ref="A18:B18"/>
    <mergeCell ref="A3:B3"/>
    <mergeCell ref="C7:H7"/>
    <mergeCell ref="A7:B9"/>
    <mergeCell ref="C13:H13"/>
    <mergeCell ref="A5:B5"/>
    <mergeCell ref="A14:B14"/>
    <mergeCell ref="C3:H3"/>
    <mergeCell ref="C15:E15"/>
    <mergeCell ref="A4:B4"/>
    <mergeCell ref="G4:H4"/>
    <mergeCell ref="C6:H6"/>
    <mergeCell ref="C14:H14"/>
    <mergeCell ref="C5:H5"/>
    <mergeCell ref="A10:B10"/>
    <mergeCell ref="C4:E4"/>
    <mergeCell ref="B19:H19"/>
  </mergeCells>
  <printOptions horizontalCentered="1"/>
  <pageMargins left="1" right="1" top="1" bottom="1" header="0.5" footer="0.5"/>
  <pageSetup orientation="portrait" paperSize="9"/>
</worksheet>
</file>

<file path=xl/worksheets/sheet42.xml><?xml version="1.0" encoding="utf-8"?>
<worksheet xmlns="http://schemas.openxmlformats.org/spreadsheetml/2006/main">
  <sheetPr codeName="工作表38">
    <outlinePr summaryBelow="1" summaryRight="1"/>
    <pageSetUpPr/>
  </sheetPr>
  <dimension ref="B1:M33"/>
  <sheetViews>
    <sheetView view="pageBreakPreview" zoomScaleNormal="100" zoomScaleSheetLayoutView="100" workbookViewId="0">
      <selection activeCell="C2" sqref="C2:D4"/>
    </sheetView>
  </sheetViews>
  <sheetFormatPr baseColWidth="8" defaultRowHeight="16.5"/>
  <cols>
    <col width="1.125" customWidth="1" style="683" min="1" max="1"/>
    <col width="1.375" customWidth="1" style="683" min="2" max="3"/>
    <col width="9.875" customWidth="1" style="683" min="4" max="5"/>
    <col width="3.5" customWidth="1" style="683" min="6" max="6"/>
    <col width="13.375" customWidth="1" style="683" min="7" max="7"/>
    <col width="14.375" customWidth="1" style="683" min="10" max="10"/>
    <col width="11.25" customWidth="1" style="683" min="11" max="11"/>
    <col width="18.625" customWidth="1" style="683" min="12" max="12"/>
    <col width="2.75" customWidth="1" style="683" min="13" max="13"/>
    <col width="3.625" customWidth="1" style="683" min="14" max="14"/>
    <col width="9" customWidth="1" style="683" min="48" max="48"/>
  </cols>
  <sheetData>
    <row r="1" ht="36" customHeight="1" s="683">
      <c r="B1" s="1211" t="n"/>
      <c r="C1" s="1214" t="inlineStr">
        <is>
          <t xml:space="preserve">      法律扶助基金會檢警律師陪同到場專案-指派律師通知表113年06月版</t>
        </is>
      </c>
      <c r="D1" s="579" t="n"/>
      <c r="E1" s="579" t="n"/>
      <c r="F1" s="579" t="n"/>
      <c r="G1" s="579" t="n"/>
      <c r="H1" s="579" t="n"/>
      <c r="I1" s="579" t="n"/>
      <c r="J1" s="579" t="n"/>
      <c r="K1" s="579" t="n"/>
      <c r="L1" s="576" t="n"/>
      <c r="M1" s="1211" t="n"/>
    </row>
    <row r="2" ht="24" customHeight="1" s="683">
      <c r="B2" s="1211" t="n"/>
      <c r="C2" s="779" t="inlineStr">
        <is>
          <t>通報
機關</t>
        </is>
      </c>
      <c r="D2" s="583" t="n"/>
      <c r="E2" s="1208" t="inlineStr">
        <is>
          <t xml:space="preserve">            ________地方法院                        ________檢察署</t>
        </is>
      </c>
      <c r="F2" s="582" t="n"/>
      <c r="G2" s="582" t="n"/>
      <c r="H2" s="582" t="n"/>
      <c r="I2" s="582" t="n"/>
      <c r="J2" s="582" t="n"/>
      <c r="K2" s="582" t="n"/>
      <c r="L2" s="583" t="n"/>
      <c r="M2" s="1211" t="n"/>
    </row>
    <row r="3" ht="24" customHeight="1" s="683">
      <c r="C3" s="607" t="n"/>
      <c r="D3" s="609" t="n"/>
      <c r="E3" s="1210">
        <f>CONCATENATE("___",輸入!$S$18,"政府___")</f>
        <v/>
      </c>
      <c r="H3" s="345" t="inlineStr">
        <is>
          <t>警察局</t>
        </is>
      </c>
      <c r="I3" s="344">
        <f>CONCATENATE("_",輸入!$S$19,"_")</f>
        <v/>
      </c>
      <c r="J3" s="345" t="inlineStr">
        <is>
          <t>分局____隊</t>
        </is>
      </c>
      <c r="K3" s="463">
        <f>CONCATENATE("_",輸入!$S$20,"_")</f>
        <v/>
      </c>
      <c r="L3" s="343" t="inlineStr">
        <is>
          <t>分駐/派出所</t>
        </is>
      </c>
    </row>
    <row r="4" ht="24" customHeight="1" s="683">
      <c r="C4" s="584" t="n"/>
      <c r="D4" s="586" t="n"/>
      <c r="E4" s="1198" t="inlineStr">
        <is>
          <t>法務部調查局           ________ 調查處/站/組  其他：           ____ (請各單位自行填寫)</t>
        </is>
      </c>
      <c r="F4" s="585" t="n"/>
      <c r="G4" s="585" t="n"/>
      <c r="H4" s="585" t="n"/>
      <c r="I4" s="585" t="n"/>
      <c r="J4" s="585" t="n"/>
      <c r="K4" s="585" t="n"/>
      <c r="L4" s="586" t="n"/>
    </row>
    <row r="5" ht="33" customHeight="1" s="683">
      <c r="B5" s="1211" t="n"/>
      <c r="C5" s="779" t="inlineStr">
        <is>
          <t>犯罪嫌疑人姓名</t>
        </is>
      </c>
      <c r="D5" s="579" t="n"/>
      <c r="E5" s="576" t="n"/>
      <c r="F5" s="805">
        <f>word用!$H$2</f>
        <v/>
      </c>
      <c r="G5" s="586" t="n"/>
      <c r="H5" s="810" t="inlineStr">
        <is>
          <t>身分別</t>
        </is>
      </c>
      <c r="I5" s="609" t="n"/>
      <c r="J5" s="1216" t="inlineStr">
        <is>
          <t>□原住民族：_____________族。</t>
        </is>
      </c>
      <c r="K5" s="585" t="n"/>
      <c r="L5" s="586" t="n"/>
      <c r="M5" s="1211" t="n"/>
    </row>
    <row r="6" ht="39" customHeight="1" s="683">
      <c r="B6" s="1211" t="n"/>
      <c r="C6" s="779" t="inlineStr">
        <is>
          <t>犯罪嫌疑人聯絡電話</t>
        </is>
      </c>
      <c r="D6" s="579" t="n"/>
      <c r="E6" s="576" t="n"/>
      <c r="F6" s="581">
        <f>IF(word用!$K$2="0","",word用!$K$2)</f>
        <v/>
      </c>
      <c r="G6" s="576" t="n"/>
      <c r="H6" s="1199" t="inlineStr">
        <is>
          <t>（僅限符合右列情形使用）</t>
        </is>
      </c>
      <c r="I6" s="609" t="n"/>
      <c r="J6" s="1184" t="inlineStr">
        <is>
          <t>□因神經系統構造及精神、心智功能損傷或不全，無法為完全陳述。</t>
        </is>
      </c>
      <c r="K6" s="579" t="n"/>
      <c r="L6" s="576" t="n"/>
      <c r="M6" s="1211" t="n"/>
    </row>
    <row r="7" ht="49.5" customHeight="1" s="683" thickBot="1">
      <c r="B7" s="1211" t="n"/>
      <c r="C7" s="819" t="inlineStr">
        <is>
          <t>犯罪嫌疑人涉犯罪名</t>
        </is>
      </c>
      <c r="D7" s="582" t="n"/>
      <c r="E7" s="583" t="n"/>
      <c r="F7" s="1160">
        <f>呈報單!$G$15</f>
        <v/>
      </c>
      <c r="G7" s="583" t="n"/>
      <c r="H7" s="1207" t="n"/>
      <c r="I7" s="609" t="n"/>
      <c r="J7" s="1197" t="inlineStr">
        <is>
          <t>□第一次接受訊問，涉犯最輕本刑三年以上有期徒刑或高等法院管轄第一審之罪。</t>
        </is>
      </c>
      <c r="K7" s="582" t="n"/>
      <c r="L7" s="583" t="n"/>
      <c r="M7" s="1211" t="n"/>
    </row>
    <row r="8" ht="20.25" customHeight="1" s="683">
      <c r="B8" s="1192" t="inlineStr">
        <is>
          <t xml:space="preserve">實際到場時間：______年______月_______日_______時________分  </t>
        </is>
      </c>
      <c r="C8" s="1193" t="n"/>
      <c r="D8" s="1193" t="n"/>
      <c r="E8" s="1193" t="n"/>
      <c r="F8" s="1193" t="n"/>
      <c r="G8" s="1193" t="n"/>
      <c r="H8" s="1193" t="n"/>
      <c r="I8" s="1193" t="n"/>
      <c r="J8" s="1193" t="n"/>
      <c r="K8" s="1193" t="n"/>
      <c r="L8" s="1193" t="n"/>
      <c r="M8" s="1194" t="n"/>
    </row>
    <row r="9" ht="49.5" customHeight="1" s="683">
      <c r="B9" s="1203" t="inlineStr">
        <is>
          <t>由犯罪嫌疑人自行填寫</t>
        </is>
      </c>
      <c r="C9" s="583" t="n"/>
      <c r="D9" s="1202" t="inlineStr">
        <is>
          <t>□犯罪嫌疑人</t>
        </is>
      </c>
      <c r="E9" s="582" t="n"/>
      <c r="F9" s="583" t="n"/>
      <c r="G9" s="1200" t="inlineStr">
        <is>
          <t>犯罪嫌疑人因涉有上列罪嫌，現於上開通報機關等候詢問，請自本通知單傳真到達法扶起，協助指派律師到達通報機關所在地點。經法扶回傳本通知單起4小時後，若無律師到場，將逕行依法詢問。</t>
        </is>
      </c>
      <c r="H9" s="582" t="n"/>
      <c r="I9" s="582" t="n"/>
      <c r="J9" s="582" t="n"/>
      <c r="K9" s="582" t="n"/>
      <c r="L9" s="582" t="n"/>
      <c r="M9" s="732" t="n"/>
    </row>
    <row r="10" ht="20.25" customHeight="1" s="683">
      <c r="B10" s="725" t="n"/>
      <c r="C10" s="609" t="n"/>
      <c r="D10" s="1215" t="inlineStr">
        <is>
          <t>需要陪偵律師</t>
        </is>
      </c>
      <c r="E10" s="585" t="n"/>
      <c r="F10" s="586" t="n"/>
      <c r="G10" s="791" t="inlineStr">
        <is>
          <t>通報機關地址：____________________________________________________</t>
        </is>
      </c>
      <c r="H10" s="585" t="n"/>
      <c r="I10" s="585" t="n"/>
      <c r="J10" s="585" t="n"/>
      <c r="K10" s="585" t="n"/>
      <c r="L10" s="585" t="n"/>
      <c r="M10" s="793" t="n"/>
    </row>
    <row r="11" ht="19.5" customHeight="1" s="683">
      <c r="B11" s="725" t="n"/>
      <c r="C11" s="609" t="n"/>
      <c r="D11" s="807" t="inlineStr">
        <is>
          <t>□犯罪嫌疑人表示</t>
        </is>
      </c>
      <c r="E11" s="582" t="n"/>
      <c r="F11" s="583" t="n"/>
      <c r="G11" s="1204" t="inlineStr">
        <is>
          <t>犯罪嫌疑人所述原因： （請勿自行另設選項）</t>
        </is>
      </c>
      <c r="J11" s="609" t="n"/>
      <c r="K11" s="1195" t="inlineStr">
        <is>
          <t>本人簽名</t>
        </is>
      </c>
      <c r="L11" s="1188" t="n"/>
      <c r="M11" s="1189" t="n"/>
    </row>
    <row r="12" ht="19.5" customHeight="1" s="683">
      <c r="B12" s="725" t="n"/>
      <c r="C12" s="609" t="n"/>
      <c r="D12" s="607" t="n"/>
      <c r="F12" s="609" t="n"/>
      <c r="G12" s="1201" t="inlineStr">
        <is>
          <t>□不需要律師，可自行處理</t>
        </is>
      </c>
      <c r="J12" s="609" t="n"/>
      <c r="L12" s="607" t="n"/>
      <c r="M12" s="728" t="n"/>
    </row>
    <row r="13" ht="19.5" customHeight="1" s="683">
      <c r="B13" s="725" t="n"/>
      <c r="C13" s="609" t="n"/>
      <c r="D13" s="1212" t="inlineStr">
        <is>
          <t>不需要陪偵律師</t>
        </is>
      </c>
      <c r="F13" s="609" t="n"/>
      <c r="G13" s="1201" t="inlineStr">
        <is>
          <t>□不願等候律師到場</t>
        </is>
      </c>
      <c r="J13" s="609" t="n"/>
      <c r="L13" s="607" t="n"/>
      <c r="M13" s="728" t="n"/>
    </row>
    <row r="14" ht="19.5" customHeight="1" s="683" thickBot="1">
      <c r="B14" s="726" t="n"/>
      <c r="C14" s="586" t="n"/>
      <c r="D14" s="1213" t="n"/>
      <c r="E14" s="771" t="n"/>
      <c r="F14" s="784" t="n"/>
      <c r="G14" s="1219" t="inlineStr">
        <is>
          <t>□已自行委任律師</t>
        </is>
      </c>
      <c r="H14" s="669" t="n"/>
      <c r="I14" s="669" t="n"/>
      <c r="J14" s="1220" t="n"/>
      <c r="K14" s="585" t="n"/>
      <c r="L14" s="1205" t="inlineStr">
        <is>
          <t>註：本會指派律師均不收費</t>
        </is>
      </c>
      <c r="M14" s="772" t="n"/>
    </row>
    <row r="15" ht="18.75" customHeight="1" s="683">
      <c r="B15" s="1211" t="n"/>
      <c r="C15" s="806" t="inlineStr">
        <is>
          <t>通報機關聯絡人</t>
        </is>
      </c>
      <c r="E15" s="609" t="n"/>
      <c r="F15" s="805">
        <f>CONCATENATE(輸入!$T$24,"  ",輸入!$U$24,)</f>
        <v/>
      </c>
      <c r="H15" s="609" t="n"/>
      <c r="I15" s="806" t="inlineStr">
        <is>
          <t>電話</t>
        </is>
      </c>
      <c r="J15" s="586" t="n"/>
      <c r="K15" s="1190">
        <f>輸入!$T$21</f>
        <v/>
      </c>
      <c r="L15" s="586" t="n"/>
      <c r="M15" s="1211" t="n"/>
    </row>
    <row r="16" ht="18.75" customHeight="1" s="683">
      <c r="B16" s="1211" t="n"/>
      <c r="C16" s="584" t="n"/>
      <c r="D16" s="585" t="n"/>
      <c r="E16" s="586" t="n"/>
      <c r="F16" s="584" t="n"/>
      <c r="G16" s="585" t="n"/>
      <c r="H16" s="586" t="n"/>
      <c r="I16" s="779" t="inlineStr">
        <is>
          <t>傳真</t>
        </is>
      </c>
      <c r="J16" s="576" t="n"/>
      <c r="K16" s="1183">
        <f>輸入!$T$22</f>
        <v/>
      </c>
      <c r="L16" s="576" t="n"/>
      <c r="M16" s="1211" t="n"/>
    </row>
    <row r="17" ht="18.75" customHeight="1" s="683">
      <c r="B17" s="1211" t="n"/>
      <c r="C17" s="779" t="inlineStr">
        <is>
          <t>傳真通知法扶時間</t>
        </is>
      </c>
      <c r="D17" s="579" t="n"/>
      <c r="E17" s="576" t="n"/>
      <c r="F17" s="767">
        <f>IF(OR(輸入!$C$2="通緝",輸入!$C$2="公共危險",輸入!$C$2=調閱用!$K$1),CONCATENATE(LEFT(下拉用!$J$10,10),"     時     分"),CONCATENATE(下拉用!$J$10))</f>
        <v/>
      </c>
      <c r="G17" s="579" t="n"/>
      <c r="H17" s="579" t="n"/>
      <c r="I17" s="579" t="n"/>
      <c r="J17" s="579" t="n"/>
      <c r="K17" s="579" t="n"/>
      <c r="L17" s="576" t="n"/>
      <c r="M17" s="1211" t="n"/>
    </row>
    <row r="18" ht="1.5" customHeight="1" s="683">
      <c r="B18" s="1211" t="n"/>
      <c r="C18" s="1211" t="n"/>
      <c r="D18" s="1211" t="n"/>
      <c r="E18" s="1211" t="n"/>
      <c r="F18" s="1211" t="n"/>
      <c r="G18" s="1211" t="n"/>
      <c r="H18" s="1211" t="n"/>
      <c r="I18" s="1211" t="n"/>
      <c r="J18" s="1211" t="n"/>
      <c r="K18" s="1211" t="n"/>
      <c r="L18" s="1211" t="n"/>
      <c r="M18" s="1211" t="n"/>
    </row>
    <row r="19" ht="16.5" customHeight="1" s="683">
      <c r="B19" s="52" t="n"/>
      <c r="D19" s="130" t="n"/>
      <c r="E19" s="704" t="inlineStr">
        <is>
          <t>請適時保護自己： 1.你可以詢問自己罪名是什麼；2.可以請求律師到場；3. 律師到場前，
可以不回答問題；4.律師到場後，有充分時間與律師討論案情。</t>
        </is>
      </c>
    </row>
    <row r="20">
      <c r="B20" s="52" t="n"/>
      <c r="D20" s="130" t="n"/>
    </row>
    <row r="21" ht="19.5" customHeight="1" s="683">
      <c r="B21" s="1217" t="inlineStr">
        <is>
          <t xml:space="preserve"> 以下欄位由法扶客服中心填寫</t>
        </is>
      </c>
    </row>
    <row r="22" ht="22.5" customHeight="1" s="683">
      <c r="C22" s="779" t="inlineStr">
        <is>
          <t>是否指派律師</t>
        </is>
      </c>
      <c r="D22" s="582" t="n"/>
      <c r="E22" s="583" t="n"/>
      <c r="F22" s="1185" t="inlineStr">
        <is>
          <t>□是</t>
        </is>
      </c>
      <c r="G22" s="582" t="n"/>
      <c r="H22" s="582" t="n"/>
      <c r="I22" s="582" t="n"/>
      <c r="J22" s="582" t="n"/>
      <c r="K22" s="582" t="n"/>
      <c r="L22" s="583" t="n"/>
    </row>
    <row r="23" ht="22.5" customHeight="1" s="683">
      <c r="C23" s="584" t="n"/>
      <c r="D23" s="585" t="n"/>
      <c r="E23" s="586" t="n"/>
      <c r="F23" s="1218" t="inlineStr">
        <is>
          <t>□否，原因：□不符合身分別   □無律師可前往   □其他：</t>
        </is>
      </c>
      <c r="G23" s="585" t="n"/>
      <c r="H23" s="585" t="n"/>
      <c r="I23" s="585" t="n"/>
      <c r="J23" s="585" t="n"/>
      <c r="K23" s="585" t="n"/>
      <c r="L23" s="586" t="n"/>
    </row>
    <row r="24" ht="38.25" customHeight="1" s="683">
      <c r="C24" s="779" t="inlineStr">
        <is>
          <t>律師預計到場時間</t>
        </is>
      </c>
      <c r="D24" s="579" t="n"/>
      <c r="E24" s="576" t="n"/>
      <c r="F24" s="1209" t="inlineStr">
        <is>
          <t xml:space="preserve">　　　　年　　　　月　　　　日　　　　時　　　　分（24小時制）</t>
        </is>
      </c>
      <c r="L24" s="728" t="n"/>
    </row>
    <row r="25" ht="37.5" customHeight="1" s="683">
      <c r="C25" s="779" t="inlineStr">
        <is>
          <t>陪訊律師姓名</t>
        </is>
      </c>
      <c r="D25" s="579" t="n"/>
      <c r="E25" s="576" t="n"/>
      <c r="F25" s="575" t="n"/>
      <c r="G25" s="579" t="n"/>
      <c r="H25" s="576" t="n"/>
      <c r="I25" s="779" t="inlineStr">
        <is>
          <t>陪訊律師電話</t>
        </is>
      </c>
      <c r="J25" s="576" t="n"/>
      <c r="K25" s="575" t="n"/>
      <c r="L25" s="576" t="n"/>
    </row>
    <row r="26" ht="21" customHeight="1" s="683">
      <c r="C26" s="819" t="inlineStr">
        <is>
          <t>客服中心</t>
        </is>
      </c>
      <c r="D26" s="582" t="n"/>
      <c r="E26" s="583" t="n"/>
      <c r="F26" s="575" t="n"/>
      <c r="G26" s="582" t="n"/>
      <c r="H26" s="583" t="n"/>
      <c r="I26" s="779" t="inlineStr">
        <is>
          <t>電話</t>
        </is>
      </c>
      <c r="J26" s="576" t="n"/>
      <c r="K26" s="1196" t="inlineStr">
        <is>
          <t>02-2559-2119</t>
        </is>
      </c>
      <c r="L26" s="576" t="n"/>
    </row>
    <row r="27" ht="21" customHeight="1" s="683">
      <c r="C27" s="806" t="inlineStr">
        <is>
          <t>承辦人</t>
        </is>
      </c>
      <c r="D27" s="585" t="n"/>
      <c r="E27" s="586" t="n"/>
      <c r="F27" s="584" t="n"/>
      <c r="G27" s="585" t="n"/>
      <c r="H27" s="586" t="n"/>
      <c r="I27" s="779" t="inlineStr">
        <is>
          <t>傳真</t>
        </is>
      </c>
      <c r="J27" s="576" t="n"/>
      <c r="K27" s="1196" t="inlineStr">
        <is>
          <t>02-2322-5587</t>
        </is>
      </c>
      <c r="L27" s="576" t="n"/>
    </row>
    <row r="28" ht="21" customHeight="1" s="683">
      <c r="C28" s="819" t="inlineStr">
        <is>
          <t>回傳通報機關時間</t>
        </is>
      </c>
      <c r="D28" s="582" t="n"/>
      <c r="E28" s="583" t="n"/>
      <c r="F28" s="1186" t="inlineStr">
        <is>
          <t xml:space="preserve">　　　　年　　　　月　　　　日　　　　時　　　　分（24小時制）</t>
        </is>
      </c>
      <c r="L28" s="728" t="n"/>
    </row>
    <row r="29" ht="22.5" customHeight="1" s="683">
      <c r="C29" s="787" t="inlineStr">
        <is>
          <t>注  意  事  項</t>
        </is>
      </c>
      <c r="D29" s="579" t="n"/>
      <c r="E29" s="579" t="n"/>
      <c r="F29" s="579" t="n"/>
      <c r="G29" s="579" t="n"/>
      <c r="H29" s="579" t="n"/>
      <c r="I29" s="579" t="n"/>
      <c r="J29" s="579" t="n"/>
      <c r="K29" s="579" t="n"/>
      <c r="L29" s="576" t="n"/>
    </row>
    <row r="30" ht="42" customHeight="1" s="683">
      <c r="C30" s="1187" t="inlineStr">
        <is>
          <t>受理資訊</t>
        </is>
      </c>
      <c r="D30" s="576" t="n"/>
      <c r="E30" s="1191" t="inlineStr">
        <is>
          <t>105年5月1日起，統一由法扶客服中心受理並派遣律師，請電洽服務專線02-2559-2119。請勿將本單張傳真至法扶總會或各分會，以免無人接收傳真而遲誤作業時間。</t>
        </is>
      </c>
      <c r="F30" s="579" t="n"/>
      <c r="G30" s="579" t="n"/>
      <c r="H30" s="579" t="n"/>
      <c r="I30" s="579" t="n"/>
      <c r="J30" s="579" t="n"/>
      <c r="K30" s="579" t="n"/>
      <c r="L30" s="576" t="n"/>
    </row>
    <row r="31" ht="20.25" customHeight="1" s="683">
      <c r="C31" s="1187" t="inlineStr">
        <is>
          <t>傳真事項</t>
        </is>
      </c>
      <c r="D31" s="576" t="n"/>
      <c r="E31" s="1206" t="inlineStr">
        <is>
          <t>敬請於傳真後，應以電話確認客服中心是否收到傳真、傳真內容是否清楚可辨認，謝謝。</t>
        </is>
      </c>
      <c r="F31" s="579" t="n"/>
      <c r="G31" s="579" t="n"/>
      <c r="H31" s="579" t="n"/>
      <c r="I31" s="579" t="n"/>
      <c r="J31" s="579" t="n"/>
      <c r="K31" s="579" t="n"/>
      <c r="L31" s="576" t="n"/>
    </row>
    <row r="32" ht="20.25" customHeight="1" s="683">
      <c r="C32" s="1187" t="inlineStr">
        <is>
          <t>表單下載</t>
        </is>
      </c>
      <c r="D32" s="576" t="n"/>
      <c r="E32" s="1206" t="inlineStr">
        <is>
          <t>本會官網（http://www.laf.org.tw）可下載，路徑：法扶服務&gt;&gt;下載文件區&gt;&gt;檢警專案相關表單。</t>
        </is>
      </c>
      <c r="F32" s="579" t="n"/>
      <c r="G32" s="579" t="n"/>
      <c r="H32" s="579" t="n"/>
      <c r="I32" s="579" t="n"/>
      <c r="J32" s="579" t="n"/>
      <c r="K32" s="579" t="n"/>
      <c r="L32" s="576" t="n"/>
    </row>
    <row r="33" ht="20.25" customHeight="1" s="683">
      <c r="C33" s="1187" t="inlineStr">
        <is>
          <t>備註</t>
        </is>
      </c>
      <c r="D33" s="576" t="n"/>
      <c r="E33" s="1191" t="n"/>
      <c r="F33" s="579" t="n"/>
      <c r="G33" s="579" t="n"/>
      <c r="H33" s="579" t="n"/>
      <c r="I33" s="579" t="n"/>
      <c r="J33" s="579" t="n"/>
      <c r="K33" s="579" t="n"/>
      <c r="L33" s="576" t="n"/>
    </row>
  </sheetData>
  <mergeCells count="71">
    <mergeCell ref="K16:L16"/>
    <mergeCell ref="J6:L6"/>
    <mergeCell ref="F22:L22"/>
    <mergeCell ref="K25:L25"/>
    <mergeCell ref="F28:L28"/>
    <mergeCell ref="C30:D30"/>
    <mergeCell ref="L11:M13"/>
    <mergeCell ref="I15:J15"/>
    <mergeCell ref="C33:D33"/>
    <mergeCell ref="K15:L15"/>
    <mergeCell ref="E33:L33"/>
    <mergeCell ref="B8:M8"/>
    <mergeCell ref="I27:J27"/>
    <mergeCell ref="K11:K14"/>
    <mergeCell ref="F6:G6"/>
    <mergeCell ref="I26:J26"/>
    <mergeCell ref="C15:E16"/>
    <mergeCell ref="F7:G7"/>
    <mergeCell ref="K26:L26"/>
    <mergeCell ref="J7:L7"/>
    <mergeCell ref="E4:L4"/>
    <mergeCell ref="H6:I6"/>
    <mergeCell ref="C27:E27"/>
    <mergeCell ref="G9:M9"/>
    <mergeCell ref="I16:J16"/>
    <mergeCell ref="F15:H16"/>
    <mergeCell ref="I25:J25"/>
    <mergeCell ref="F5:G5"/>
    <mergeCell ref="G12:J12"/>
    <mergeCell ref="D9:F9"/>
    <mergeCell ref="C17:E17"/>
    <mergeCell ref="B9:C14"/>
    <mergeCell ref="G11:J11"/>
    <mergeCell ref="L14:M14"/>
    <mergeCell ref="C7:E7"/>
    <mergeCell ref="C31:D31"/>
    <mergeCell ref="E31:L31"/>
    <mergeCell ref="D11:F12"/>
    <mergeCell ref="C28:E28"/>
    <mergeCell ref="E30:L30"/>
    <mergeCell ref="H7:I7"/>
    <mergeCell ref="C22:E23"/>
    <mergeCell ref="C29:L29"/>
    <mergeCell ref="E2:L2"/>
    <mergeCell ref="K27:L27"/>
    <mergeCell ref="F24:L24"/>
    <mergeCell ref="M2:M4"/>
    <mergeCell ref="B2:B4"/>
    <mergeCell ref="D13:F14"/>
    <mergeCell ref="F26:H27"/>
    <mergeCell ref="E3:G3"/>
    <mergeCell ref="G10:M10"/>
    <mergeCell ref="C1:L1"/>
    <mergeCell ref="C6:E6"/>
    <mergeCell ref="C24:E24"/>
    <mergeCell ref="D10:F10"/>
    <mergeCell ref="J5:L5"/>
    <mergeCell ref="G13:J13"/>
    <mergeCell ref="F25:H25"/>
    <mergeCell ref="C32:D32"/>
    <mergeCell ref="C2:D4"/>
    <mergeCell ref="C5:E5"/>
    <mergeCell ref="F17:L17"/>
    <mergeCell ref="E32:L32"/>
    <mergeCell ref="E19:L20"/>
    <mergeCell ref="F23:L23"/>
    <mergeCell ref="H5:I5"/>
    <mergeCell ref="C26:E26"/>
    <mergeCell ref="B21:M21"/>
    <mergeCell ref="C25:E25"/>
    <mergeCell ref="G14:J14"/>
  </mergeCells>
  <pageMargins left="0.25" right="0.25" top="0.75" bottom="0.75" header="0.3" footer="0.3"/>
  <pageSetup orientation="portrait" paperSize="9" scale="93"/>
</worksheet>
</file>

<file path=xl/worksheets/sheet43.xml><?xml version="1.0" encoding="utf-8"?>
<worksheet xmlns="http://schemas.openxmlformats.org/spreadsheetml/2006/main">
  <sheetPr codeName="工作表30">
    <outlinePr summaryBelow="1" summaryRight="1"/>
    <pageSetUpPr/>
  </sheetPr>
  <dimension ref="A1:N52"/>
  <sheetViews>
    <sheetView view="pageLayout" topLeftCell="A8" zoomScaleNormal="100" workbookViewId="0">
      <selection activeCell="Q21" sqref="Q21"/>
    </sheetView>
  </sheetViews>
  <sheetFormatPr baseColWidth="8" defaultColWidth="9" defaultRowHeight="16.5"/>
  <cols>
    <col width="11" customWidth="1" style="593" min="1" max="1"/>
    <col width="1.5" customWidth="1" style="593" min="2" max="2"/>
    <col width="18.75" customWidth="1" style="593" min="3" max="3"/>
    <col width="7.75" customWidth="1" style="593" min="4" max="4"/>
    <col width="6.5" customWidth="1" style="593" min="5" max="5"/>
    <col width="6" customWidth="1" style="593" min="6" max="6"/>
    <col width="9.5" customWidth="1" style="593" min="7" max="7"/>
    <col width="2.375" customWidth="1" style="593" min="8" max="9"/>
    <col width="2.75" customWidth="1" style="593" min="10" max="10"/>
    <col width="4.25" customWidth="1" style="593" min="11" max="11"/>
    <col width="4.625" customWidth="1" style="593" min="12" max="12"/>
    <col width="6.5" customWidth="1" style="593" min="13" max="13"/>
    <col width="11.375" customWidth="1" style="593" min="14" max="14"/>
    <col width="9" customWidth="1" style="593" min="15" max="16"/>
    <col width="9" customWidth="1" style="593" min="17" max="16384"/>
  </cols>
  <sheetData>
    <row r="1" ht="21" customHeight="1" s="683">
      <c r="B1" s="166" t="n"/>
      <c r="C1" s="166" t="inlineStr">
        <is>
          <t>查處外來人口在臺逾期停留、居留或其他非法案件通知書</t>
        </is>
      </c>
      <c r="D1" s="166" t="n"/>
    </row>
    <row r="2" ht="28.35" customHeight="1" s="683">
      <c r="I2" s="168" t="n"/>
      <c r="J2" s="1235">
        <f>CONCATENATE("中華民國",LEFT(下拉用!J10,10))</f>
        <v/>
      </c>
      <c r="K2" s="585" t="n"/>
      <c r="L2" s="585" t="n"/>
      <c r="M2" s="585" t="n"/>
      <c r="N2" s="585" t="n"/>
    </row>
    <row r="3" ht="22.5" customHeight="1" s="683">
      <c r="A3" s="167" t="inlineStr">
        <is>
          <t>查處方式</t>
        </is>
      </c>
      <c r="B3" s="1228">
        <f>IF(ISBLANK(B19),"□自首1  □主動投案2  □檢舉或自行查獲","□自首1  □主動投案2  ■檢舉或自行查獲")</f>
        <v/>
      </c>
      <c r="C3" s="579" t="n"/>
      <c r="D3" s="579" t="n"/>
      <c r="E3" s="579" t="n"/>
      <c r="F3" s="579" t="n"/>
      <c r="G3" s="579" t="n"/>
      <c r="H3" s="579" t="n"/>
      <c r="I3" s="579" t="n"/>
      <c r="J3" s="579" t="n"/>
      <c r="K3" s="579" t="n"/>
      <c r="L3" s="579" t="n"/>
      <c r="M3" s="579" t="n"/>
      <c r="N3" s="576" t="n"/>
    </row>
    <row r="4" ht="18.6" customHeight="1" s="683">
      <c r="A4" s="577" t="inlineStr">
        <is>
          <t>案    類</t>
        </is>
      </c>
      <c r="B4" s="1236">
        <f>IF(輸入!$C$2="入出國及移民法","■入出國及移民法","□入出國及移民法")</f>
        <v/>
      </c>
      <c r="C4" s="582" t="n"/>
      <c r="D4" s="1221" t="inlineStr">
        <is>
          <t>□臺灣地區與大陸地區人民關係條例</t>
        </is>
      </c>
      <c r="E4" s="582" t="n"/>
      <c r="F4" s="582" t="n"/>
      <c r="G4" s="582" t="n"/>
      <c r="H4" s="582" t="n"/>
      <c r="I4" s="582" t="n"/>
      <c r="J4" s="582" t="n"/>
      <c r="K4" s="1226">
        <f>IF(AND(輸入!$C$2&lt;&gt;"入出國及移民法",輸入!$C$2&lt;&gt;"違反社會秩序維護法"),"■刑法","□刑法")</f>
        <v/>
      </c>
      <c r="L4" s="582" t="n"/>
      <c r="M4" s="582" t="n"/>
      <c r="N4" s="583" t="n"/>
    </row>
    <row r="5" ht="18.6" customHeight="1" s="683">
      <c r="A5" s="588" t="n"/>
      <c r="B5" s="1234">
        <f>IF(輸入!$C$2="就業服務法","■就業服務法","□就業服務法)")</f>
        <v/>
      </c>
      <c r="C5" s="585" t="n"/>
      <c r="D5" s="1225" t="inlineStr">
        <is>
          <t>□香港澳門關係條例</t>
        </is>
      </c>
      <c r="E5" s="585" t="n"/>
      <c r="F5" s="585" t="n"/>
      <c r="G5" s="585" t="n"/>
      <c r="H5" s="585" t="n"/>
      <c r="I5" s="585" t="n"/>
      <c r="J5" s="585" t="n"/>
      <c r="K5" s="1225">
        <f>IF(輸入!$C$2="違反社會秩序維護法","■其他(社會秩序維護法)","□其他(社會秩序維護法)")</f>
        <v/>
      </c>
      <c r="L5" s="49" t="n"/>
      <c r="M5" s="49" t="n"/>
      <c r="N5" s="91" t="n"/>
    </row>
    <row r="6" ht="22.5" customHeight="1" s="683">
      <c r="A6" s="577" t="inlineStr">
        <is>
          <t>查獲時間</t>
        </is>
      </c>
      <c r="B6" s="1224">
        <f>下拉用!$J$10</f>
        <v/>
      </c>
      <c r="C6" s="579" t="n"/>
      <c r="D6" s="579" t="n"/>
      <c r="E6" s="579" t="n"/>
      <c r="F6" s="579" t="n"/>
      <c r="G6" s="579" t="n"/>
      <c r="H6" s="579" t="n"/>
      <c r="I6" s="579" t="n"/>
      <c r="J6" s="579" t="n"/>
      <c r="K6" s="579" t="n"/>
      <c r="L6" s="579" t="n"/>
      <c r="M6" s="579" t="n"/>
      <c r="N6" s="576" t="n"/>
    </row>
    <row r="7" ht="22.5" customHeight="1" s="683">
      <c r="A7" s="577" t="inlineStr">
        <is>
          <t>查獲地點</t>
        </is>
      </c>
      <c r="B7" s="1224">
        <f>IF(ISBLANK(輸入!$C$13),輸入!$S$23,輸入!$C$13)</f>
        <v/>
      </c>
      <c r="C7" s="579" t="n"/>
      <c r="D7" s="579" t="n"/>
      <c r="E7" s="579" t="n"/>
      <c r="F7" s="579" t="n"/>
      <c r="G7" s="579" t="n"/>
      <c r="H7" s="579" t="n"/>
      <c r="I7" s="579" t="n"/>
      <c r="J7" s="579" t="n"/>
      <c r="K7" s="579" t="n"/>
      <c r="L7" s="579" t="n"/>
      <c r="M7" s="579" t="n"/>
      <c r="N7" s="576" t="n"/>
    </row>
    <row r="8" ht="22.5" customHeight="1" s="683">
      <c r="A8" s="577" t="inlineStr">
        <is>
          <t>查獲單位</t>
        </is>
      </c>
      <c r="B8" s="1224">
        <f>CONCATENATE(輸入!$S$18,輸入!$T$18,輸入!$S$19,輸入!$T$19,輸入!$S$20,輸入!$T$20)</f>
        <v/>
      </c>
      <c r="C8" s="579" t="n"/>
      <c r="D8" s="579" t="n"/>
      <c r="E8" s="579" t="n"/>
      <c r="F8" s="579" t="n"/>
      <c r="G8" s="579" t="n"/>
      <c r="H8" s="579" t="n"/>
      <c r="I8" s="579" t="n"/>
      <c r="J8" s="579" t="n"/>
      <c r="K8" s="579" t="n"/>
      <c r="L8" s="579" t="n"/>
      <c r="M8" s="579" t="n"/>
      <c r="N8" s="576" t="n"/>
    </row>
    <row r="9" ht="18.6" customHeight="1" s="683">
      <c r="A9" s="577" t="inlineStr">
        <is>
          <t>非法雇主</t>
        </is>
      </c>
      <c r="B9" s="797" t="inlineStr">
        <is>
          <t>□有（共  名，應檢附勞工檢查紀錄表或臨檢表）</t>
        </is>
      </c>
      <c r="C9" s="582" t="n"/>
      <c r="D9" s="582" t="n"/>
      <c r="E9" s="582" t="n"/>
      <c r="F9" s="582" t="n"/>
      <c r="G9" s="582" t="n"/>
      <c r="H9" s="582" t="n"/>
      <c r="I9" s="582" t="n"/>
      <c r="J9" s="582" t="n"/>
      <c r="K9" s="582" t="n"/>
      <c r="L9" s="582" t="n"/>
      <c r="M9" s="582" t="n"/>
      <c r="N9" s="583" t="n"/>
    </row>
    <row r="10" ht="18.6" customHeight="1" s="683">
      <c r="A10" s="588" t="n"/>
      <c r="B10" s="1237" t="inlineStr">
        <is>
          <t>■無（應於本表案情紀錄欄詳述發現經過）</t>
        </is>
      </c>
      <c r="C10" s="585" t="n"/>
      <c r="D10" s="585" t="n"/>
      <c r="E10" s="585" t="n"/>
      <c r="F10" s="585" t="n"/>
      <c r="G10" s="585" t="n"/>
      <c r="H10" s="585" t="n"/>
      <c r="I10" s="585" t="n"/>
      <c r="J10" s="585" t="n"/>
      <c r="K10" s="585" t="n"/>
      <c r="L10" s="585" t="n"/>
      <c r="M10" s="585" t="n"/>
      <c r="N10" s="586" t="n"/>
    </row>
    <row r="11" ht="18.6" customHeight="1" s="683">
      <c r="A11" s="577" t="inlineStr">
        <is>
          <t>檢附文件</t>
        </is>
      </c>
      <c r="B11" s="1222" t="inlineStr">
        <is>
          <t xml:space="preserve">□ 護照正（影）本                    □ 外僑居留證        </t>
        </is>
      </c>
      <c r="C11" s="582" t="n"/>
      <c r="D11" s="582" t="n"/>
      <c r="E11" s="582" t="n"/>
      <c r="F11" s="582" t="n"/>
      <c r="G11" s="582" t="n"/>
      <c r="H11" s="582" t="n"/>
      <c r="I11" s="582" t="n"/>
      <c r="J11" s="582" t="n"/>
      <c r="K11" s="582" t="n"/>
      <c r="L11" s="582" t="n"/>
      <c r="M11" s="582" t="n"/>
      <c r="N11" s="583" t="n"/>
    </row>
    <row r="12" ht="18.6" customHeight="1" s="683">
      <c r="A12" s="945" t="n"/>
      <c r="B12" s="1232" t="inlineStr">
        <is>
          <t xml:space="preserve">□ 臨檢表                            □ 檢查紀錄表       </t>
        </is>
      </c>
      <c r="N12" s="609" t="n"/>
    </row>
    <row r="13" ht="18.6" customHeight="1" s="683">
      <c r="A13" s="945" t="n"/>
      <c r="B13" s="1232" t="inlineStr">
        <is>
          <t>■ 調查筆錄                          □ 外僑居留電腦資料</t>
        </is>
      </c>
      <c r="N13" s="609" t="n"/>
    </row>
    <row r="14" ht="18.6" customHeight="1" s="683">
      <c r="A14" s="588" t="n"/>
      <c r="B14" s="1229" t="inlineStr">
        <is>
          <t>■ 入出境電腦資料                    ■ 其他（相關附表）</t>
        </is>
      </c>
      <c r="C14" s="585" t="n"/>
      <c r="D14" s="585" t="n"/>
      <c r="E14" s="585" t="n"/>
      <c r="F14" s="585" t="n"/>
      <c r="G14" s="585" t="n"/>
      <c r="H14" s="585" t="n"/>
      <c r="I14" s="585" t="n"/>
      <c r="J14" s="585" t="n"/>
      <c r="K14" s="585" t="n"/>
      <c r="L14" s="585" t="n"/>
      <c r="M14" s="585" t="n"/>
      <c r="N14" s="586" t="n"/>
    </row>
    <row r="15" ht="22.5" customHeight="1" s="683">
      <c r="A15" s="577" t="inlineStr">
        <is>
          <t>財物保管</t>
        </is>
      </c>
      <c r="B15" s="1222" t="inlineStr">
        <is>
          <t>□ 新臺幣      元（或    幣        元）         □ 機票</t>
        </is>
      </c>
      <c r="C15" s="582" t="n"/>
      <c r="D15" s="582" t="n"/>
      <c r="E15" s="582" t="n"/>
      <c r="F15" s="582" t="n"/>
      <c r="G15" s="582" t="n"/>
      <c r="H15" s="582" t="n"/>
      <c r="I15" s="582" t="n"/>
      <c r="J15" s="582" t="n"/>
      <c r="K15" s="582" t="n"/>
      <c r="L15" s="582" t="n"/>
      <c r="M15" s="582" t="n"/>
      <c r="N15" s="583" t="n"/>
    </row>
    <row r="16" ht="22.5" customHeight="1" s="683">
      <c r="A16" s="588" t="n"/>
      <c r="B16" s="1229" t="inlineStr">
        <is>
          <t>□ 貴重物品（金飾      、手機      支）         □ 其他(              )</t>
        </is>
      </c>
      <c r="C16" s="585" t="n"/>
      <c r="D16" s="585" t="n"/>
      <c r="E16" s="585" t="n"/>
      <c r="F16" s="585" t="n"/>
      <c r="G16" s="585" t="n"/>
      <c r="H16" s="585" t="n"/>
      <c r="I16" s="585" t="n"/>
      <c r="J16" s="585" t="n"/>
      <c r="K16" s="585" t="n"/>
      <c r="L16" s="585" t="n"/>
      <c r="M16" s="585" t="n"/>
      <c r="N16" s="586" t="n"/>
    </row>
    <row r="17" ht="17.45" customHeight="1" s="683">
      <c r="A17" s="1230" t="inlineStr">
        <is>
          <t>被查獲人</t>
        </is>
      </c>
      <c r="B17" s="577" t="inlineStr">
        <is>
          <t>姓      名</t>
        </is>
      </c>
      <c r="C17" s="582" t="n"/>
      <c r="D17" s="583" t="n"/>
      <c r="E17" s="581" t="inlineStr">
        <is>
          <t>國
籍</t>
        </is>
      </c>
      <c r="F17" s="1160" t="inlineStr">
        <is>
          <t>護照號碼</t>
        </is>
      </c>
      <c r="G17" s="583" t="n"/>
      <c r="H17" s="581" t="inlineStr">
        <is>
          <t>性
別</t>
        </is>
      </c>
      <c r="I17" s="583" t="n"/>
      <c r="J17" s="581" t="inlineStr">
        <is>
          <t>出  生
年月日</t>
        </is>
      </c>
      <c r="K17" s="582" t="n"/>
      <c r="L17" s="583" t="n"/>
      <c r="M17" s="577" t="inlineStr">
        <is>
          <t>職業</t>
        </is>
      </c>
      <c r="N17" s="581" t="inlineStr">
        <is>
          <t>被查獲人
簽名捺印</t>
        </is>
      </c>
    </row>
    <row r="18" ht="17.45" customHeight="1" s="683">
      <c r="A18" s="945" t="n"/>
      <c r="B18" s="584" t="n"/>
      <c r="C18" s="585" t="n"/>
      <c r="D18" s="586" t="n"/>
      <c r="E18" s="588" t="n"/>
      <c r="F18" s="1227" t="inlineStr">
        <is>
          <t>（國民身份證統一編號）</t>
        </is>
      </c>
      <c r="G18" s="586" t="n"/>
      <c r="H18" s="584" t="n"/>
      <c r="I18" s="586" t="n"/>
      <c r="J18" s="584" t="n"/>
      <c r="K18" s="585" t="n"/>
      <c r="L18" s="586" t="n"/>
      <c r="M18" s="588" t="n"/>
      <c r="N18" s="588" t="n"/>
    </row>
    <row r="19" ht="28.35" customHeight="1" s="683">
      <c r="A19" s="945" t="n"/>
      <c r="B19" s="577">
        <f>word用!$H$2</f>
        <v/>
      </c>
      <c r="C19" s="579" t="n"/>
      <c r="D19" s="576" t="n"/>
      <c r="E19" s="581">
        <f>VLOOKUP($B$19,個資,13,FALSE)</f>
        <v/>
      </c>
      <c r="F19" s="581">
        <f>UPPER(VLOOKUP($B$19,個資,2,FALSE))</f>
        <v/>
      </c>
      <c r="G19" s="576" t="n"/>
      <c r="H19" s="581">
        <f>VLOOKUP($B$19,個資,11,FALSE)</f>
        <v/>
      </c>
      <c r="I19" s="576" t="n"/>
      <c r="J19" s="581">
        <f>VLOOKUP($B$19,個資,16,FALSE)</f>
        <v/>
      </c>
      <c r="K19" s="579" t="n"/>
      <c r="L19" s="576" t="n"/>
      <c r="M19" s="169">
        <f>VLOOKUP($B$19,個資,8,FALSE)</f>
        <v/>
      </c>
      <c r="N19" s="45" t="n"/>
    </row>
    <row r="20" ht="28.35" customHeight="1" s="683">
      <c r="A20" s="588" t="n"/>
      <c r="B20" s="577" t="n"/>
      <c r="C20" s="579" t="n"/>
      <c r="D20" s="576" t="n"/>
      <c r="E20" s="581">
        <f>IFERROR(VLOOKUP(B20,個資,18,FALSE),"")</f>
        <v/>
      </c>
      <c r="F20" s="581">
        <f>IFERROR(UPPER(VLOOKUP(B20,個資,2,FALSE)),"")</f>
        <v/>
      </c>
      <c r="G20" s="576" t="n"/>
      <c r="H20" s="581">
        <f>IFERROR(VLOOKUP(B20,個資,12,FALSE),"")</f>
        <v/>
      </c>
      <c r="I20" s="576" t="n"/>
      <c r="J20" s="581">
        <f>IFERROR(VLOOKUP(B20,個資,21,FALSE),"")</f>
        <v/>
      </c>
      <c r="K20" s="579" t="n"/>
      <c r="L20" s="576" t="n"/>
      <c r="M20" s="169">
        <f>IFERROR(VLOOKUP(B20,個資,9,FALSE),"")</f>
        <v/>
      </c>
      <c r="N20" s="45" t="n"/>
    </row>
    <row r="21" ht="94.5" customHeight="1" s="683">
      <c r="A21" s="1230" t="inlineStr">
        <is>
          <t>案情摘要</t>
        </is>
      </c>
      <c r="B21" s="1233">
        <f>CONCATENATE("警方於上開時、地，見其",輸入!$H$3,"，經警盤查並確認後，辨識結果",$B$19,"為",LEFT($B$19,10),"所報逃逸外勞行方不明人口，故帶返所製作相關資料，經查以上",COUNTA(B19:C20),"名未在台灣犯有其他刑案。")</f>
        <v/>
      </c>
      <c r="C21" s="579" t="n"/>
      <c r="D21" s="579" t="n"/>
      <c r="E21" s="579" t="n"/>
      <c r="F21" s="579" t="n"/>
      <c r="G21" s="579" t="n"/>
      <c r="H21" s="579" t="n"/>
      <c r="I21" s="579" t="n"/>
      <c r="J21" s="579" t="n"/>
      <c r="K21" s="579" t="n"/>
      <c r="L21" s="579" t="n"/>
      <c r="M21" s="579" t="n"/>
      <c r="N21" s="576" t="n"/>
    </row>
    <row r="22" ht="62.25" customHeight="1" s="683">
      <c r="A22" s="588" t="n"/>
      <c r="B22" s="729" t="inlineStr">
        <is>
          <t>※(本欄項必填)
□被查獲人因涉及          案件，請專勤隊暫緩執行遣返出國(境)事宜。
■被查獲人違法情事已調查完畢，得由專勤隊儘速執行遣返出國(境)事宜。</t>
        </is>
      </c>
      <c r="C22" s="579" t="n"/>
      <c r="D22" s="579" t="n"/>
      <c r="E22" s="579" t="n"/>
      <c r="F22" s="579" t="n"/>
      <c r="G22" s="579" t="n"/>
      <c r="H22" s="579" t="n"/>
      <c r="I22" s="579" t="n"/>
      <c r="J22" s="579" t="n"/>
      <c r="K22" s="579" t="n"/>
      <c r="L22" s="579" t="n"/>
      <c r="M22" s="579" t="n"/>
      <c r="N22" s="576" t="n"/>
    </row>
    <row r="23" ht="19.7" customHeight="1" s="683">
      <c r="A23" s="581" t="inlineStr">
        <is>
          <t>接 送
單 位</t>
        </is>
      </c>
      <c r="B23" s="577" t="inlineStr">
        <is>
          <t>查獲/移送人員</t>
        </is>
      </c>
      <c r="C23" s="579" t="n"/>
      <c r="D23" s="579" t="n"/>
      <c r="E23" s="579" t="n"/>
      <c r="F23" s="576" t="n"/>
      <c r="G23" s="577" t="inlineStr">
        <is>
          <t>單位主管</t>
        </is>
      </c>
      <c r="H23" s="579" t="n"/>
      <c r="I23" s="579" t="n"/>
      <c r="J23" s="579" t="n"/>
      <c r="K23" s="579" t="n"/>
      <c r="L23" s="579" t="n"/>
      <c r="M23" s="579" t="n"/>
      <c r="N23" s="576" t="n"/>
    </row>
    <row r="24" ht="36.75" customHeight="1" s="683">
      <c r="A24" s="588" t="n"/>
      <c r="B24" s="1223" t="inlineStr">
        <is>
          <t>（職章）</t>
        </is>
      </c>
      <c r="C24" s="579" t="n"/>
      <c r="D24" s="579" t="n"/>
      <c r="E24" s="579" t="n"/>
      <c r="F24" s="576" t="n"/>
      <c r="G24" s="1223" t="inlineStr">
        <is>
          <t>（職章）</t>
        </is>
      </c>
      <c r="H24" s="579" t="n"/>
      <c r="I24" s="579" t="n"/>
      <c r="J24" s="579" t="n"/>
      <c r="K24" s="579" t="n"/>
      <c r="L24" s="579" t="n"/>
      <c r="M24" s="579" t="n"/>
      <c r="N24" s="576" t="n"/>
    </row>
    <row r="25" ht="19.7" customHeight="1" s="683">
      <c r="A25" s="577" t="inlineStr">
        <is>
          <t>專勤隊接收時間：   年  月  日   時   分（由專勤隊填寫）</t>
        </is>
      </c>
      <c r="B25" s="579" t="n"/>
      <c r="C25" s="579" t="n"/>
      <c r="D25" s="579" t="n"/>
      <c r="E25" s="579" t="n"/>
      <c r="F25" s="579" t="n"/>
      <c r="G25" s="579" t="n"/>
      <c r="H25" s="579" t="n"/>
      <c r="I25" s="579" t="n"/>
      <c r="J25" s="579" t="n"/>
      <c r="K25" s="579" t="n"/>
      <c r="L25" s="579" t="n"/>
      <c r="M25" s="579" t="n"/>
      <c r="N25" s="576" t="n"/>
    </row>
    <row r="26" ht="19.7" customHeight="1" s="683">
      <c r="A26" s="581" t="inlineStr">
        <is>
          <t>接 辦
單 位</t>
        </is>
      </c>
      <c r="B26" s="583" t="n"/>
      <c r="C26" s="577" t="inlineStr">
        <is>
          <t>接辦人員</t>
        </is>
      </c>
      <c r="D26" s="579" t="n"/>
      <c r="E26" s="579" t="n"/>
      <c r="F26" s="576" t="n"/>
      <c r="G26" s="577" t="inlineStr">
        <is>
          <t>單位主管</t>
        </is>
      </c>
      <c r="H26" s="579" t="n"/>
      <c r="I26" s="579" t="n"/>
      <c r="J26" s="579" t="n"/>
      <c r="K26" s="579" t="n"/>
      <c r="L26" s="579" t="n"/>
      <c r="M26" s="579" t="n"/>
      <c r="N26" s="576" t="n"/>
    </row>
    <row r="27" ht="36.75" customHeight="1" s="683">
      <c r="A27" s="584" t="n"/>
      <c r="B27" s="586" t="n"/>
      <c r="C27" s="1223" t="inlineStr">
        <is>
          <t>（職章）</t>
        </is>
      </c>
      <c r="D27" s="579" t="n"/>
      <c r="E27" s="579" t="n"/>
      <c r="F27" s="576" t="n"/>
      <c r="G27" s="1223" t="inlineStr">
        <is>
          <t>（職章）</t>
        </is>
      </c>
      <c r="H27" s="579" t="n"/>
      <c r="I27" s="579" t="n"/>
      <c r="J27" s="579" t="n"/>
      <c r="K27" s="579" t="n"/>
      <c r="L27" s="579" t="n"/>
      <c r="M27" s="579" t="n"/>
      <c r="N27" s="576" t="n"/>
    </row>
    <row r="34" ht="16.5" customHeight="1" s="683">
      <c r="A34" s="601" t="n"/>
      <c r="B34" s="601" t="n"/>
      <c r="C34" s="601" t="n"/>
      <c r="D34" s="601" t="n"/>
      <c r="E34" s="601" t="n"/>
      <c r="F34" s="601" t="n"/>
      <c r="G34" s="601" t="n"/>
      <c r="H34" s="601" t="n"/>
      <c r="I34" s="601" t="n"/>
      <c r="J34" s="601" t="n"/>
      <c r="K34" s="601" t="n"/>
      <c r="L34" s="601" t="n"/>
      <c r="M34" s="601" t="n"/>
      <c r="N34" s="601" t="n"/>
    </row>
    <row r="35" ht="28.35" customHeight="1" s="683">
      <c r="A35" s="171" t="inlineStr">
        <is>
          <t>備註：</t>
        </is>
      </c>
      <c r="B35" s="130" t="n"/>
      <c r="C35" s="130" t="n"/>
      <c r="D35" s="130" t="n"/>
      <c r="E35" s="130" t="n"/>
      <c r="F35" s="130" t="n"/>
      <c r="G35" s="130" t="n"/>
      <c r="H35" s="130" t="n"/>
      <c r="I35" s="130" t="n"/>
      <c r="J35" s="130" t="n"/>
      <c r="K35" s="130" t="n"/>
      <c r="L35" s="130" t="n"/>
      <c r="M35" s="130" t="n"/>
      <c r="N35" s="130" t="n"/>
    </row>
    <row r="36" ht="28.35" customFormat="1" customHeight="1" s="778">
      <c r="A36" s="172" t="inlineStr">
        <is>
          <t>1.自首之意義</t>
        </is>
      </c>
      <c r="B36" s="130" t="n"/>
      <c r="C36" s="130" t="n"/>
      <c r="D36" s="130" t="n"/>
      <c r="E36" s="130" t="n"/>
      <c r="F36" s="130" t="n"/>
      <c r="G36" s="130" t="n"/>
      <c r="H36" s="130" t="n"/>
      <c r="I36" s="130" t="n"/>
      <c r="J36" s="130" t="n"/>
      <c r="K36" s="130" t="n"/>
      <c r="L36" s="130" t="n"/>
      <c r="M36" s="130" t="n"/>
      <c r="N36" s="130" t="n"/>
    </row>
    <row r="37" ht="28.35" customFormat="1" customHeight="1" s="778">
      <c r="A37" s="1231" t="inlineStr">
        <is>
          <t>自首意義：刑法第62條本文規定：「對於未發覺之罪自首而受裁判者，得減輕其刑。所</t>
        </is>
      </c>
      <c r="B37" s="130" t="n"/>
      <c r="C37" s="130" t="n"/>
      <c r="D37" s="130" t="n"/>
      <c r="E37" s="130" t="n"/>
      <c r="F37" s="130" t="n"/>
      <c r="G37" s="130" t="n"/>
      <c r="H37" s="130" t="n"/>
      <c r="I37" s="130" t="n"/>
      <c r="J37" s="130" t="n"/>
      <c r="K37" s="130" t="n"/>
      <c r="L37" s="130" t="n"/>
      <c r="M37" s="130" t="n"/>
      <c r="N37" s="130" t="n"/>
    </row>
    <row r="38" ht="28.35" customFormat="1" customHeight="1" s="778">
      <c r="A38" s="1231" t="inlineStr">
        <is>
          <t>謂自首，祇以犯人在犯罪未發覺之前，向該管公務員申告犯罪事實，並受裁判之意。所</t>
        </is>
      </c>
      <c r="B38" s="130" t="n"/>
      <c r="C38" s="130" t="n"/>
      <c r="D38" s="130" t="n"/>
      <c r="E38" s="130" t="n"/>
      <c r="F38" s="130" t="n"/>
      <c r="G38" s="130" t="n"/>
      <c r="H38" s="130" t="n"/>
      <c r="I38" s="130" t="n"/>
      <c r="J38" s="130" t="n"/>
      <c r="K38" s="130" t="n"/>
      <c r="L38" s="130" t="n"/>
      <c r="M38" s="130" t="n"/>
      <c r="N38" s="130" t="n"/>
    </row>
    <row r="39" ht="28.35" customFormat="1" customHeight="1" s="778">
      <c r="A39" s="1231" t="inlineStr">
        <is>
          <t>稱「該管公務員」，係指有偵查犯罪職權之公務員，如檢察官、司法警察官或司法警察。</t>
        </is>
      </c>
      <c r="B39" s="130" t="n"/>
      <c r="C39" s="130" t="n"/>
      <c r="D39" s="130" t="n"/>
      <c r="E39" s="130" t="n"/>
      <c r="F39" s="130" t="n"/>
      <c r="G39" s="130" t="n"/>
      <c r="H39" s="130" t="n"/>
      <c r="I39" s="130" t="n"/>
      <c r="J39" s="130" t="n"/>
      <c r="K39" s="130" t="n"/>
      <c r="L39" s="130" t="n"/>
      <c r="M39" s="130" t="n"/>
      <c r="N39" s="130" t="n"/>
    </row>
    <row r="40" ht="28.35" customFormat="1" customHeight="1" s="778">
      <c r="A40" s="173" t="inlineStr">
        <is>
          <t>自首必須符合下列要件：</t>
        </is>
      </c>
      <c r="B40" s="130" t="n"/>
      <c r="C40" s="130" t="n"/>
      <c r="D40" s="130" t="n"/>
      <c r="E40" s="130" t="n"/>
      <c r="F40" s="130" t="n"/>
      <c r="G40" s="130" t="n"/>
      <c r="H40" s="130" t="n"/>
      <c r="I40" s="130" t="n"/>
      <c r="J40" s="130" t="n"/>
      <c r="K40" s="130" t="n"/>
      <c r="L40" s="130" t="n"/>
      <c r="M40" s="130" t="n"/>
      <c r="N40" s="130" t="n"/>
    </row>
    <row r="41" ht="28.35" customFormat="1" customHeight="1" s="778">
      <c r="A41" s="1231" t="inlineStr">
        <is>
          <t>一、自首必須在犯罪未發覺前為之：所謂「未發覺」，係指有偵查權之公務員尚未發覺犯</t>
        </is>
      </c>
      <c r="B41" s="130" t="n"/>
      <c r="C41" s="130" t="n"/>
      <c r="D41" s="130" t="n"/>
      <c r="E41" s="130" t="n"/>
      <c r="F41" s="130" t="n"/>
      <c r="G41" s="130" t="n"/>
      <c r="H41" s="130" t="n"/>
      <c r="I41" s="130" t="n"/>
      <c r="J41" s="130" t="n"/>
      <c r="K41" s="130" t="n"/>
      <c r="L41" s="130" t="n"/>
      <c r="M41" s="130" t="n"/>
      <c r="N41" s="130" t="n"/>
    </row>
    <row r="42" ht="28.35" customFormat="1" customHeight="1" s="778">
      <c r="A42" s="134" t="inlineStr">
        <is>
          <t>罪事實，或已發覺犯罪事實，但不知誰為犯罪者。若有偵查權之公務員尚未發覺犯</t>
        </is>
      </c>
      <c r="B42" s="130" t="n"/>
      <c r="C42" s="130" t="n"/>
      <c r="D42" s="130" t="n"/>
      <c r="E42" s="130" t="n"/>
      <c r="F42" s="130" t="n"/>
      <c r="G42" s="130" t="n"/>
      <c r="H42" s="130" t="n"/>
      <c r="I42" s="130" t="n"/>
      <c r="J42" s="130" t="n"/>
      <c r="K42" s="130" t="n"/>
      <c r="L42" s="130" t="n"/>
      <c r="M42" s="130" t="n"/>
      <c r="N42" s="130" t="n"/>
    </row>
    <row r="43" ht="28.35" customFormat="1" customHeight="1" s="778">
      <c r="A43" s="134" t="inlineStr">
        <is>
          <t>罪，即使被害人或其他人已發覺犯罪，仍屬未發覺犯罪。</t>
        </is>
      </c>
      <c r="B43" s="130" t="n"/>
      <c r="C43" s="130" t="n"/>
      <c r="D43" s="130" t="n"/>
      <c r="E43" s="130" t="n"/>
      <c r="F43" s="130" t="n"/>
      <c r="G43" s="130" t="n"/>
      <c r="H43" s="130" t="n"/>
      <c r="I43" s="130" t="n"/>
      <c r="J43" s="130" t="n"/>
      <c r="K43" s="130" t="n"/>
      <c r="L43" s="130" t="n"/>
      <c r="M43" s="130" t="n"/>
      <c r="N43" s="130" t="n"/>
    </row>
    <row r="44" ht="28.35" customFormat="1" customHeight="1" s="778">
      <c r="A44" s="1231" t="inlineStr">
        <is>
          <t>二、自首必須申告自己所為之犯罪行為。</t>
        </is>
      </c>
      <c r="D44" s="1231" t="n"/>
      <c r="E44" s="130" t="n"/>
      <c r="F44" s="130" t="n"/>
      <c r="G44" s="130" t="n"/>
      <c r="H44" s="130" t="n"/>
      <c r="I44" s="130" t="n"/>
      <c r="J44" s="130" t="n"/>
      <c r="K44" s="130" t="n"/>
      <c r="L44" s="130" t="n"/>
      <c r="M44" s="130" t="n"/>
      <c r="N44" s="130" t="n"/>
    </row>
    <row r="45" ht="28.35" customFormat="1" customHeight="1" s="778">
      <c r="A45" s="1231" t="inlineStr">
        <is>
          <t>三、自首必須向有偵查權之公務員為之：自首方式，可以言詞陳述，或以書面、電話、</t>
        </is>
      </c>
      <c r="B45" s="130" t="n"/>
      <c r="C45" s="130" t="n"/>
      <c r="D45" s="130" t="n"/>
      <c r="E45" s="130" t="n"/>
      <c r="F45" s="130" t="n"/>
      <c r="G45" s="130" t="n"/>
      <c r="H45" s="130" t="n"/>
      <c r="I45" s="130" t="n"/>
      <c r="J45" s="130" t="n"/>
      <c r="K45" s="130" t="n"/>
      <c r="L45" s="130" t="n"/>
      <c r="M45" s="130" t="n"/>
      <c r="N45" s="130" t="n"/>
    </row>
    <row r="46" ht="28.35" customFormat="1" customHeight="1" s="778">
      <c r="A46" s="134" t="inlineStr">
        <is>
          <t>傳真、電報或e-mail，或託請他人代為申告，或向非偵查機關請其代為轉送者，以</t>
        </is>
      </c>
      <c r="B46" s="130" t="n"/>
      <c r="C46" s="130" t="n"/>
      <c r="D46" s="130" t="n"/>
      <c r="E46" s="130" t="n"/>
      <c r="F46" s="130" t="n"/>
      <c r="G46" s="130" t="n"/>
      <c r="H46" s="130" t="n"/>
      <c r="I46" s="130" t="n"/>
      <c r="J46" s="130" t="n"/>
      <c r="K46" s="130" t="n"/>
      <c r="L46" s="130" t="n"/>
      <c r="M46" s="130" t="n"/>
      <c r="N46" s="130" t="n"/>
    </row>
    <row r="47" ht="28.35" customFormat="1" customHeight="1" s="778">
      <c r="A47" s="134" t="inlineStr">
        <is>
          <t>轉送至偵查機關始生效力。</t>
        </is>
      </c>
      <c r="B47" s="130" t="n"/>
      <c r="C47" s="130" t="n"/>
      <c r="D47" s="130" t="n"/>
      <c r="E47" s="130" t="n"/>
      <c r="F47" s="130" t="n"/>
      <c r="G47" s="130" t="n"/>
      <c r="H47" s="130" t="n"/>
      <c r="I47" s="130" t="n"/>
      <c r="J47" s="130" t="n"/>
      <c r="K47" s="130" t="n"/>
      <c r="L47" s="130" t="n"/>
      <c r="M47" s="130" t="n"/>
      <c r="N47" s="130" t="n"/>
    </row>
    <row r="48" ht="28.35" customFormat="1" customHeight="1" s="778">
      <c r="A48" s="1231" t="inlineStr">
        <is>
          <t>四、自首必須自動接受裁判：所謂「自動接受裁判」，固不必即時親自到偵查機關接受偵</t>
        </is>
      </c>
      <c r="B48" s="130" t="n"/>
      <c r="C48" s="130" t="n"/>
      <c r="D48" s="130" t="n"/>
      <c r="E48" s="130" t="n"/>
      <c r="F48" s="130" t="n"/>
      <c r="G48" s="130" t="n"/>
      <c r="H48" s="130" t="n"/>
      <c r="I48" s="130" t="n"/>
      <c r="J48" s="130" t="n"/>
      <c r="K48" s="130" t="n"/>
      <c r="L48" s="130" t="n"/>
      <c r="M48" s="130" t="n"/>
      <c r="N48" s="130" t="n"/>
    </row>
    <row r="49" ht="28.35" customFormat="1" customHeight="1" s="778">
      <c r="A49" s="134" t="inlineStr">
        <is>
          <t>查，例如告知自己所在處所，使偵查機關隨時可以進行追訴工作亦可；如告知犯罪</t>
        </is>
      </c>
      <c r="B49" s="130" t="n"/>
      <c r="C49" s="130" t="n"/>
      <c r="D49" s="130" t="n"/>
      <c r="E49" s="130" t="n"/>
      <c r="F49" s="130" t="n"/>
      <c r="G49" s="130" t="n"/>
      <c r="H49" s="130" t="n"/>
      <c r="I49" s="130" t="n"/>
      <c r="J49" s="130" t="n"/>
      <c r="K49" s="130" t="n"/>
      <c r="L49" s="130" t="n"/>
      <c r="M49" s="130" t="n"/>
      <c r="N49" s="130" t="n"/>
    </row>
    <row r="50" ht="28.35" customHeight="1" s="683">
      <c r="A50" s="134" t="inlineStr">
        <is>
          <t>事實後隨即逃亡，則不成立自首。</t>
        </is>
      </c>
    </row>
    <row r="51" ht="28.35" customHeight="1" s="683">
      <c r="A51" s="172" t="inlineStr">
        <is>
          <t>2.主動投案(自行到案)之意義</t>
        </is>
      </c>
    </row>
    <row r="52" ht="28.35" customHeight="1" s="683">
      <c r="A52" s="170" t="inlineStr">
        <is>
          <t>係指偵查機關已發覺犯人之犯罪事實，且未經拘提或逮捕，而自行到案情形。</t>
        </is>
      </c>
    </row>
  </sheetData>
  <mergeCells count="54">
    <mergeCell ref="H17:I18"/>
    <mergeCell ref="D4:J4"/>
    <mergeCell ref="E17:E18"/>
    <mergeCell ref="A26:B27"/>
    <mergeCell ref="H20:I20"/>
    <mergeCell ref="B9:N9"/>
    <mergeCell ref="F19:G19"/>
    <mergeCell ref="A11:A14"/>
    <mergeCell ref="B15:N15"/>
    <mergeCell ref="J20:L20"/>
    <mergeCell ref="G27:N27"/>
    <mergeCell ref="B6:N6"/>
    <mergeCell ref="J17:L18"/>
    <mergeCell ref="G23:N23"/>
    <mergeCell ref="D5:J5"/>
    <mergeCell ref="K4:N4"/>
    <mergeCell ref="B19:D19"/>
    <mergeCell ref="N17:N18"/>
    <mergeCell ref="F20:G20"/>
    <mergeCell ref="F18:G18"/>
    <mergeCell ref="A25:N25"/>
    <mergeCell ref="B23:F23"/>
    <mergeCell ref="B7:N7"/>
    <mergeCell ref="B17:D18"/>
    <mergeCell ref="B3:N3"/>
    <mergeCell ref="F17:G17"/>
    <mergeCell ref="B16:N16"/>
    <mergeCell ref="A21:A22"/>
    <mergeCell ref="B20:D20"/>
    <mergeCell ref="B22:N22"/>
    <mergeCell ref="A44:C44"/>
    <mergeCell ref="A4:A5"/>
    <mergeCell ref="M17:M18"/>
    <mergeCell ref="C26:F26"/>
    <mergeCell ref="A17:A20"/>
    <mergeCell ref="B12:N12"/>
    <mergeCell ref="G24:N24"/>
    <mergeCell ref="A23:A24"/>
    <mergeCell ref="B21:N21"/>
    <mergeCell ref="H19:I19"/>
    <mergeCell ref="B11:N11"/>
    <mergeCell ref="B14:N14"/>
    <mergeCell ref="G26:N26"/>
    <mergeCell ref="B24:F24"/>
    <mergeCell ref="A9:A10"/>
    <mergeCell ref="B8:N8"/>
    <mergeCell ref="B5:C5"/>
    <mergeCell ref="J19:L19"/>
    <mergeCell ref="J2:N2"/>
    <mergeCell ref="B13:N13"/>
    <mergeCell ref="A15:A16"/>
    <mergeCell ref="C27:F27"/>
    <mergeCell ref="B4:C4"/>
    <mergeCell ref="B10:N10"/>
  </mergeCells>
  <pageMargins left="0.5118110236220472" right="0" top="0.5905511811023623" bottom="0.3937007874015748" header="0" footer="0"/>
  <pageSetup orientation="portrait" paperSize="9"/>
</worksheet>
</file>

<file path=xl/worksheets/sheet44.xml><?xml version="1.0" encoding="utf-8"?>
<worksheet xmlns="http://schemas.openxmlformats.org/spreadsheetml/2006/main">
  <sheetPr codeName="工作表54">
    <outlinePr summaryBelow="1" summaryRight="1"/>
    <pageSetUpPr/>
  </sheetPr>
  <dimension ref="B1:P28"/>
  <sheetViews>
    <sheetView view="pageLayout" zoomScale="85" zoomScaleNormal="100" zoomScaleSheetLayoutView="100" zoomScalePageLayoutView="85" workbookViewId="0">
      <selection activeCell="C2" sqref="C2:D4"/>
    </sheetView>
  </sheetViews>
  <sheetFormatPr baseColWidth="8" defaultRowHeight="16.5"/>
  <cols>
    <col width="1.125" customWidth="1" style="683" min="1" max="1"/>
    <col width="1.375" customWidth="1" style="683" min="2" max="2"/>
    <col width="2.25" customWidth="1" style="683" min="3" max="3"/>
    <col width="9.75" customWidth="1" style="683" min="4" max="4"/>
    <col width="9.25" customWidth="1" style="683" min="5" max="5"/>
    <col width="1.375" customWidth="1" style="683" min="6" max="6"/>
    <col width="9.25" customWidth="1" style="683" min="7" max="7"/>
    <col width="6.625" customWidth="1" style="683" min="8" max="8"/>
    <col width="5.125" customWidth="1" style="683" min="9" max="9"/>
    <col width="4.25" customWidth="1" style="683" min="10" max="10"/>
    <col width="14.125" customWidth="1" style="683" min="11" max="11"/>
    <col width="0.875" customWidth="1" style="683" min="12" max="12"/>
    <col width="6.625" customWidth="1" style="683" min="13" max="13"/>
    <col width="7.5" customWidth="1" style="683" min="14" max="14"/>
    <col width="22.125" customWidth="1" style="683" min="15" max="15"/>
    <col width="1.125" customWidth="1" style="683" min="16" max="16"/>
    <col width="1.25" customWidth="1" style="683" min="17" max="17"/>
    <col width="9" customWidth="1" style="683" min="51" max="51"/>
  </cols>
  <sheetData>
    <row r="1" ht="26.25" customHeight="1" s="683">
      <c r="B1" s="1211" t="n"/>
      <c r="C1" s="1247" t="inlineStr">
        <is>
          <t xml:space="preserve">                 法律扶助基金會 檢警律師陪同到場專案 - 指派律師通知表113年06月版</t>
        </is>
      </c>
      <c r="D1" s="579" t="n"/>
      <c r="E1" s="579" t="n"/>
      <c r="F1" s="579" t="n"/>
      <c r="G1" s="579" t="n"/>
      <c r="H1" s="579" t="n"/>
      <c r="I1" s="579" t="n"/>
      <c r="J1" s="579" t="n"/>
      <c r="K1" s="579" t="n"/>
      <c r="L1" s="579" t="n"/>
      <c r="M1" s="579" t="n"/>
      <c r="N1" s="579" t="n"/>
      <c r="O1" s="576" t="n"/>
      <c r="P1" s="1211" t="n"/>
    </row>
    <row r="2" ht="24" customHeight="1" s="683">
      <c r="B2" s="1211" t="n"/>
      <c r="C2" s="779" t="inlineStr">
        <is>
          <t>通報
機關</t>
        </is>
      </c>
      <c r="D2" s="583" t="n"/>
      <c r="E2" s="1208" t="inlineStr">
        <is>
          <t>___________地方法院                                     _______檢察署</t>
        </is>
      </c>
      <c r="F2" s="582" t="n"/>
      <c r="G2" s="582" t="n"/>
      <c r="H2" s="582" t="n"/>
      <c r="I2" s="582" t="n"/>
      <c r="J2" s="582" t="n"/>
      <c r="K2" s="582" t="n"/>
      <c r="L2" s="582" t="n"/>
      <c r="M2" s="582" t="n"/>
      <c r="N2" s="582" t="n"/>
      <c r="O2" s="583" t="n"/>
      <c r="P2" s="1211" t="n"/>
    </row>
    <row r="3" ht="24" customHeight="1" s="683">
      <c r="C3" s="607" t="n"/>
      <c r="D3" s="609" t="n"/>
      <c r="E3" s="804">
        <f>CONCATENATE("__",輸入!$S$18,"__",輸入!$T$18,"___",輸入!$S$19,"___",輸入!$T$19,"___隊___",輸入!$S$20,"__分駐/派出所")</f>
        <v/>
      </c>
      <c r="O3" s="609" t="n"/>
    </row>
    <row r="4" ht="24" customHeight="1" s="683">
      <c r="C4" s="584" t="n"/>
      <c r="D4" s="586" t="n"/>
      <c r="E4" s="811" t="inlineStr">
        <is>
          <t>法務部調查局           ________ 調查處/站/組  其他：           ____ (請各單位自行填寫)</t>
        </is>
      </c>
      <c r="F4" s="585" t="n"/>
      <c r="G4" s="585" t="n"/>
      <c r="H4" s="585" t="n"/>
      <c r="I4" s="585" t="n"/>
      <c r="J4" s="585" t="n"/>
      <c r="K4" s="585" t="n"/>
      <c r="L4" s="585" t="n"/>
      <c r="M4" s="585" t="n"/>
      <c r="N4" s="585" t="n"/>
      <c r="O4" s="586" t="n"/>
    </row>
    <row r="5" ht="33" customHeight="1" s="683">
      <c r="B5" s="1211" t="n"/>
      <c r="C5" s="779" t="inlineStr">
        <is>
          <t>犯罪嫌疑人姓名</t>
        </is>
      </c>
      <c r="D5" s="579" t="n"/>
      <c r="E5" s="576" t="n"/>
      <c r="F5" s="581">
        <f>word用!$H$2</f>
        <v/>
      </c>
      <c r="G5" s="579" t="n"/>
      <c r="H5" s="576" t="n"/>
      <c r="I5" s="810" t="inlineStr">
        <is>
          <t>身分別</t>
        </is>
      </c>
      <c r="J5" s="609" t="n"/>
      <c r="K5" s="1241" t="inlineStr">
        <is>
          <t xml:space="preserve">  □原住民族：_____________族。</t>
        </is>
      </c>
      <c r="L5" s="579" t="n"/>
      <c r="M5" s="579" t="n"/>
      <c r="N5" s="579" t="n"/>
      <c r="O5" s="576" t="n"/>
      <c r="P5" s="1211" t="n"/>
    </row>
    <row r="6" ht="45" customHeight="1" s="683">
      <c r="B6" s="1211" t="n"/>
      <c r="C6" s="779" t="inlineStr">
        <is>
          <t>聯絡電話</t>
        </is>
      </c>
      <c r="D6" s="579" t="n"/>
      <c r="E6" s="576" t="n"/>
      <c r="F6" s="581">
        <f>IF(word用!$K$2="0","",word用!$K$2)</f>
        <v/>
      </c>
      <c r="G6" s="579" t="n"/>
      <c r="H6" s="576" t="n"/>
      <c r="I6" s="1240" t="inlineStr">
        <is>
          <t>（僅限符合右列情形使用； 身心障礙者不以持有證明者為限）</t>
        </is>
      </c>
      <c r="J6" s="609" t="n"/>
      <c r="K6" s="1233" t="inlineStr">
        <is>
          <t xml:space="preserve"> □因身心障礙，致無法為完全陳述。
   □無身心障礙證明
   □有身心障礙證明，障礙別為第1類【b1】:神
     經系統構造及精神、心智功能障礙
   □有身心障礙證明，障礙別為第【______】類
   (為統計所需，請參身心障礙證明背面填載障礙類別代碼)</t>
        </is>
      </c>
      <c r="L6" s="582" t="n"/>
      <c r="M6" s="582" t="n"/>
      <c r="N6" s="582" t="n"/>
      <c r="O6" s="583" t="n"/>
      <c r="P6" s="1211" t="n"/>
    </row>
    <row r="7" ht="57" customHeight="1" s="683">
      <c r="B7" s="1211" t="n"/>
      <c r="C7" s="779" t="inlineStr">
        <is>
          <t>身分證/居留證/護照證號</t>
        </is>
      </c>
      <c r="D7" s="579" t="n"/>
      <c r="E7" s="576" t="n"/>
      <c r="F7" s="581">
        <f>UPPER(VLOOKUP($F$5,個資,2,FALSE))</f>
        <v/>
      </c>
      <c r="G7" s="579" t="n"/>
      <c r="H7" s="576" t="n"/>
      <c r="I7" s="607" t="n"/>
      <c r="J7" s="609" t="n"/>
      <c r="K7" s="584" t="n"/>
      <c r="L7" s="585" t="n"/>
      <c r="M7" s="585" t="n"/>
      <c r="N7" s="585" t="n"/>
      <c r="O7" s="586" t="n"/>
      <c r="P7" s="1211" t="n"/>
    </row>
    <row r="8" ht="52.5" customHeight="1" s="683">
      <c r="B8" s="1211" t="n"/>
      <c r="C8" s="779" t="inlineStr">
        <is>
          <t>涉犯罪名</t>
        </is>
      </c>
      <c r="D8" s="579" t="n"/>
      <c r="E8" s="576" t="n"/>
      <c r="F8" s="581">
        <f>呈報單!$G$15</f>
        <v/>
      </c>
      <c r="G8" s="579" t="n"/>
      <c r="H8" s="576" t="n"/>
      <c r="I8" s="584" t="n"/>
      <c r="J8" s="586" t="n"/>
      <c r="K8" s="657" t="inlineStr">
        <is>
          <t xml:space="preserve"> □第一次接受訊問，涉犯最輕本刑三年以上有期
   徒刑或高等法院管轄第一審之罪。</t>
        </is>
      </c>
      <c r="L8" s="579" t="n"/>
      <c r="M8" s="579" t="n"/>
      <c r="N8" s="579" t="n"/>
      <c r="O8" s="576" t="n"/>
      <c r="P8" s="1211" t="n"/>
    </row>
    <row r="9" ht="27" customHeight="1" s="683">
      <c r="B9" s="1211" t="n"/>
      <c r="C9" s="1249" t="inlineStr">
        <is>
          <t>預計偵訊時間：______年______月_______日_______時________分</t>
        </is>
      </c>
      <c r="D9" s="579" t="n"/>
      <c r="E9" s="579" t="n"/>
      <c r="F9" s="579" t="n"/>
      <c r="G9" s="579" t="n"/>
      <c r="H9" s="579" t="n"/>
      <c r="I9" s="579" t="n"/>
      <c r="J9" s="579" t="n"/>
      <c r="K9" s="579" t="n"/>
      <c r="L9" s="579" t="n"/>
      <c r="M9" s="579" t="n"/>
      <c r="N9" s="579" t="n"/>
      <c r="O9" s="576" t="n"/>
      <c r="P9" s="1211" t="n"/>
    </row>
    <row r="10" ht="26.25" customHeight="1" s="683" thickBot="1">
      <c r="B10" s="1211" t="n"/>
      <c r="C10" s="1248">
        <f>CONCATENATE("偵訊機關地址：",輸入!S23)</f>
        <v/>
      </c>
      <c r="D10" s="582" t="n"/>
      <c r="E10" s="582" t="n"/>
      <c r="F10" s="582" t="n"/>
      <c r="G10" s="582" t="n"/>
      <c r="H10" s="582" t="n"/>
      <c r="I10" s="582" t="n"/>
      <c r="J10" s="582" t="n"/>
      <c r="K10" s="582" t="n"/>
      <c r="L10" s="582" t="n"/>
      <c r="M10" s="582" t="n"/>
      <c r="N10" s="582" t="n"/>
      <c r="O10" s="583" t="n"/>
      <c r="P10" s="1211" t="n"/>
    </row>
    <row r="11" ht="27" customHeight="1" s="683">
      <c r="B11" s="1239" t="inlineStr">
        <is>
          <t>由犯罪嫌疑人自行填寫</t>
        </is>
      </c>
      <c r="C11" s="816" t="n"/>
      <c r="D11" s="1245" t="inlineStr">
        <is>
          <t>□犯罪嫌疑人
 需要陪偵律師</t>
        </is>
      </c>
      <c r="E11" s="734" t="n"/>
      <c r="F11" s="816" t="n"/>
      <c r="G11" s="1250" t="inlineStr">
        <is>
          <t xml:space="preserve"> 犯罪嫌疑人因涉有上列罪嫌，現於上開通報機關等候詢問，請自本通知單傳
 真到達法扶起，協助指派律師到達通報機關所在地點。經法扶回傳本通知單
 起4小時後，若無律師到場，將逕行依法詢問。</t>
        </is>
      </c>
      <c r="H11" s="734" t="n"/>
      <c r="I11" s="734" t="n"/>
      <c r="J11" s="734" t="n"/>
      <c r="K11" s="734" t="n"/>
      <c r="L11" s="734" t="n"/>
      <c r="M11" s="734" t="n"/>
      <c r="N11" s="734" t="n"/>
      <c r="O11" s="734" t="n"/>
      <c r="P11" s="735" t="n"/>
    </row>
    <row r="12" ht="32.25" customHeight="1" s="683">
      <c r="B12" s="725" t="n"/>
      <c r="C12" s="609" t="n"/>
      <c r="D12" s="726" t="n"/>
      <c r="E12" s="585" t="n"/>
      <c r="F12" s="586" t="n"/>
      <c r="G12" s="584" t="n"/>
      <c r="H12" s="585" t="n"/>
      <c r="I12" s="585" t="n"/>
      <c r="J12" s="585" t="n"/>
      <c r="K12" s="585" t="n"/>
      <c r="L12" s="585" t="n"/>
      <c r="M12" s="585" t="n"/>
      <c r="N12" s="585" t="n"/>
      <c r="O12" s="585" t="n"/>
      <c r="P12" s="793" t="n"/>
    </row>
    <row r="13" ht="21.75" customHeight="1" s="683">
      <c r="B13" s="725" t="n"/>
      <c r="C13" s="609" t="n"/>
      <c r="D13" s="781" t="inlineStr">
        <is>
          <t>□犯罪嫌疑人表示
 不需要陪偵律師</t>
        </is>
      </c>
      <c r="E13" s="582" t="n"/>
      <c r="F13" s="583" t="n"/>
      <c r="G13" s="1160" t="inlineStr">
        <is>
          <t>犯罪嫌疑人所述原因：（請勿自行另設選項）</t>
        </is>
      </c>
      <c r="H13" s="582" t="n"/>
      <c r="I13" s="582" t="n"/>
      <c r="J13" s="582" t="n"/>
      <c r="K13" s="582" t="n"/>
      <c r="L13" s="583" t="n"/>
      <c r="M13" s="787" t="inlineStr">
        <is>
          <t>本人簽名</t>
        </is>
      </c>
      <c r="N13" s="583" t="n"/>
      <c r="O13" s="391" t="n"/>
      <c r="P13" s="392" t="n"/>
    </row>
    <row r="14" ht="18" customHeight="1" s="683">
      <c r="B14" s="725" t="n"/>
      <c r="C14" s="609" t="n"/>
      <c r="D14" s="725" t="n"/>
      <c r="F14" s="609" t="n"/>
      <c r="G14" s="808" t="inlineStr">
        <is>
          <t xml:space="preserve"> □不需要律師，可自行處理</t>
        </is>
      </c>
      <c r="L14" s="609" t="n"/>
      <c r="M14" s="607" t="n"/>
      <c r="N14" s="609" t="n"/>
      <c r="O14" s="393" t="n"/>
      <c r="P14" s="394" t="n"/>
    </row>
    <row r="15" ht="22.5" customHeight="1" s="683">
      <c r="B15" s="725" t="n"/>
      <c r="C15" s="609" t="n"/>
      <c r="D15" s="725" t="n"/>
      <c r="F15" s="609" t="n"/>
      <c r="G15" s="818" t="inlineStr">
        <is>
          <t xml:space="preserve"> □不願等候律師到場</t>
        </is>
      </c>
      <c r="L15" s="609" t="n"/>
      <c r="M15" s="607" t="n"/>
      <c r="N15" s="609" t="n"/>
      <c r="O15" s="798" t="inlineStr">
        <is>
          <t>註：本會指派律師均不收費</t>
        </is>
      </c>
      <c r="P15" s="728" t="n"/>
    </row>
    <row r="16" ht="24.75" customHeight="1" s="683" thickBot="1">
      <c r="B16" s="726" t="n"/>
      <c r="C16" s="586" t="n"/>
      <c r="D16" s="783" t="n"/>
      <c r="E16" s="771" t="n"/>
      <c r="F16" s="784" t="n"/>
      <c r="G16" s="788" t="inlineStr">
        <is>
          <t xml:space="preserve"> □已自行委任律師</t>
        </is>
      </c>
      <c r="H16" s="771" t="n"/>
      <c r="I16" s="771" t="n"/>
      <c r="J16" s="771" t="n"/>
      <c r="K16" s="771" t="n"/>
      <c r="L16" s="784" t="n"/>
      <c r="M16" s="584" t="n"/>
      <c r="N16" s="586" t="n"/>
      <c r="O16" s="799" t="n"/>
      <c r="P16" s="800" t="n"/>
    </row>
    <row r="17" ht="69.75" customHeight="1" s="683" thickBot="1">
      <c r="B17" s="1242" t="inlineStr">
        <is>
          <t>※請適時保護自己：1.您可以詢問自己罪名是什麼；2.可以請求律師到場；3.律師到場前，可以不回答問題；4.
  律師到場後，有充分時間與律師討論案情。
※申請律師後最遲於 45 分鐘內即可得知有無律師；律師平均約 1~4 小時抵達偵訊機關。如後續有偵查中辯護或
  法律扶助之需求，可請陪偵律師協助您填寫「檢警陪偵後-法律扶助申請書」進行申請。</t>
        </is>
      </c>
      <c r="C17" s="802" t="n"/>
      <c r="D17" s="802" t="n"/>
      <c r="E17" s="802" t="n"/>
      <c r="F17" s="802" t="n"/>
      <c r="G17" s="802" t="n"/>
      <c r="H17" s="802" t="n"/>
      <c r="I17" s="802" t="n"/>
      <c r="J17" s="802" t="n"/>
      <c r="K17" s="802" t="n"/>
      <c r="L17" s="802" t="n"/>
      <c r="M17" s="802" t="n"/>
      <c r="N17" s="802" t="n"/>
      <c r="O17" s="802" t="n"/>
      <c r="P17" s="803" t="n"/>
    </row>
    <row r="18" ht="18.75" customHeight="1" s="683">
      <c r="B18" s="1211" t="n"/>
      <c r="C18" s="806" t="inlineStr">
        <is>
          <t>通報機關聯絡人</t>
        </is>
      </c>
      <c r="E18" s="609" t="n"/>
      <c r="F18" s="815">
        <f>CONCATENATE(輸入!$T$24,"  ",輸入!$U$24,)</f>
        <v/>
      </c>
      <c r="G18" s="734" t="n"/>
      <c r="H18" s="734" t="n"/>
      <c r="I18" s="734" t="n"/>
      <c r="J18" s="816" t="n"/>
      <c r="K18" s="779" t="inlineStr">
        <is>
          <t>電話</t>
        </is>
      </c>
      <c r="L18" s="591">
        <f>輸入!$T$21</f>
        <v/>
      </c>
      <c r="M18" s="579" t="n"/>
      <c r="N18" s="579" t="n"/>
      <c r="O18" s="576" t="n"/>
      <c r="P18" s="1211" t="n"/>
    </row>
    <row r="19" ht="18.75" customHeight="1" s="683">
      <c r="B19" s="1211" t="n"/>
      <c r="C19" s="584" t="n"/>
      <c r="D19" s="585" t="n"/>
      <c r="E19" s="586" t="n"/>
      <c r="F19" s="584" t="n"/>
      <c r="G19" s="585" t="n"/>
      <c r="H19" s="585" t="n"/>
      <c r="I19" s="585" t="n"/>
      <c r="J19" s="586" t="n"/>
      <c r="K19" s="779" t="inlineStr">
        <is>
          <t>傳真</t>
        </is>
      </c>
      <c r="L19" s="591">
        <f>輸入!$T$22</f>
        <v/>
      </c>
      <c r="M19" s="579" t="n"/>
      <c r="N19" s="579" t="n"/>
      <c r="O19" s="576" t="n"/>
      <c r="P19" s="1211" t="n"/>
    </row>
    <row r="20" ht="18.75" customHeight="1" s="683">
      <c r="B20" s="1211" t="n"/>
      <c r="C20" s="779" t="inlineStr">
        <is>
          <t>傳真通知法扶時間</t>
        </is>
      </c>
      <c r="D20" s="579" t="n"/>
      <c r="E20" s="576" t="n"/>
      <c r="F20" s="767">
        <f>IF(OR(輸入!$C$2="通緝",輸入!$C$2="公共危險",輸入!$C$2=調閱用!$K$1),CONCATENATE(LEFT(下拉用!$J$10,10),"     時     分"),CONCATENATE(下拉用!$J$10))</f>
        <v/>
      </c>
      <c r="G20" s="579" t="n"/>
      <c r="H20" s="579" t="n"/>
      <c r="I20" s="579" t="n"/>
      <c r="J20" s="579" t="n"/>
      <c r="K20" s="579" t="n"/>
      <c r="L20" s="579" t="n"/>
      <c r="M20" s="579" t="n"/>
      <c r="N20" s="579" t="n"/>
      <c r="O20" s="576" t="n"/>
      <c r="P20" s="1211" t="n"/>
    </row>
    <row r="21" ht="36.75" customHeight="1" s="683">
      <c r="B21" s="1211" t="n"/>
      <c r="C21" s="1246" t="inlineStr">
        <is>
          <t>表單下載</t>
        </is>
      </c>
      <c r="D21" s="576" t="n"/>
      <c r="E21" s="1233" t="inlineStr">
        <is>
          <t>法扶會官網（http://www.laf.org.tw）下載路徑：下載專區&gt;&gt;檢警專案。
傳真後請致電客服中心，確認是否收到，謝謝。</t>
        </is>
      </c>
      <c r="F21" s="579" t="n"/>
      <c r="G21" s="579" t="n"/>
      <c r="H21" s="579" t="n"/>
      <c r="I21" s="579" t="n"/>
      <c r="J21" s="579" t="n"/>
      <c r="K21" s="579" t="n"/>
      <c r="L21" s="579" t="n"/>
      <c r="M21" s="579" t="n"/>
      <c r="N21" s="579" t="n"/>
      <c r="O21" s="576" t="n"/>
      <c r="P21" s="1211" t="n"/>
    </row>
    <row r="22" ht="19.5" customHeight="1" s="683">
      <c r="B22" s="390" t="inlineStr">
        <is>
          <t xml:space="preserve"> </t>
        </is>
      </c>
      <c r="C22" s="390" t="n"/>
      <c r="D22" s="390" t="n"/>
      <c r="E22" s="390" t="n"/>
      <c r="F22" s="390" t="n"/>
      <c r="G22" s="395" t="n"/>
      <c r="H22" s="1244" t="inlineStr">
        <is>
          <t>以下欄位由法扶客服中心填寫</t>
        </is>
      </c>
      <c r="I22" s="579" t="n"/>
      <c r="J22" s="579" t="n"/>
      <c r="K22" s="579" t="n"/>
      <c r="L22" s="579" t="n"/>
      <c r="M22" s="579" t="n"/>
      <c r="N22" s="390" t="n"/>
      <c r="O22" s="390" t="n"/>
      <c r="P22" s="390" t="n"/>
    </row>
    <row r="23" ht="29.25" customHeight="1" s="683">
      <c r="C23" s="819" t="inlineStr">
        <is>
          <t>是否指派律師</t>
        </is>
      </c>
      <c r="D23" s="582" t="n"/>
      <c r="E23" s="583" t="n"/>
      <c r="F23" s="797" t="inlineStr">
        <is>
          <t xml:space="preserve"> □是 □否，原因：□不符合身分別   □無律師可前往   □其他：</t>
        </is>
      </c>
      <c r="G23" s="582" t="n"/>
      <c r="H23" s="582" t="n"/>
      <c r="I23" s="582" t="n"/>
      <c r="J23" s="582" t="n"/>
      <c r="K23" s="582" t="n"/>
      <c r="L23" s="582" t="n"/>
      <c r="M23" s="582" t="n"/>
      <c r="N23" s="582" t="n"/>
      <c r="O23" s="583" t="n"/>
    </row>
    <row r="24" ht="38.25" customHeight="1" s="683">
      <c r="C24" s="779" t="inlineStr">
        <is>
          <t>律師預計到場時間</t>
        </is>
      </c>
      <c r="D24" s="579" t="n"/>
      <c r="E24" s="576" t="n"/>
      <c r="F24" s="785" t="inlineStr">
        <is>
          <t xml:space="preserve">　　　　年　　　　月　　　　日　　　　時　　　　分（24小時制）</t>
        </is>
      </c>
      <c r="G24" s="579" t="n"/>
      <c r="H24" s="579" t="n"/>
      <c r="I24" s="579" t="n"/>
      <c r="J24" s="579" t="n"/>
      <c r="K24" s="579" t="n"/>
      <c r="L24" s="579" t="n"/>
      <c r="M24" s="579" t="n"/>
      <c r="N24" s="579" t="n"/>
      <c r="O24" s="576" t="n"/>
    </row>
    <row r="25" ht="21.75" customHeight="1" s="683">
      <c r="C25" s="779" t="inlineStr">
        <is>
          <t>陪訊律師姓名</t>
        </is>
      </c>
      <c r="D25" s="579" t="n"/>
      <c r="E25" s="576" t="n"/>
      <c r="F25" s="575" t="n"/>
      <c r="G25" s="579" t="n"/>
      <c r="H25" s="579" t="n"/>
      <c r="I25" s="579" t="n"/>
      <c r="J25" s="576" t="n"/>
      <c r="K25" s="779" t="inlineStr">
        <is>
          <t>陪訊律師電話</t>
        </is>
      </c>
      <c r="L25" s="576" t="n"/>
      <c r="M25" s="591" t="n"/>
      <c r="N25" s="579" t="n"/>
      <c r="O25" s="576" t="n"/>
    </row>
    <row r="26" ht="21" customHeight="1" s="683">
      <c r="C26" s="779" t="inlineStr">
        <is>
          <t>客服中心承辦人</t>
        </is>
      </c>
      <c r="D26" s="582" t="n"/>
      <c r="E26" s="583" t="n"/>
      <c r="F26" s="1238" t="n"/>
      <c r="J26" s="609" t="n"/>
      <c r="K26" s="779" t="inlineStr">
        <is>
          <t>電話</t>
        </is>
      </c>
      <c r="L26" s="576" t="n"/>
      <c r="M26" s="1243" t="inlineStr">
        <is>
          <t>02-2559-2119</t>
        </is>
      </c>
      <c r="N26" s="579" t="n"/>
      <c r="O26" s="576" t="n"/>
    </row>
    <row r="27" ht="21" customHeight="1" s="683">
      <c r="C27" s="584" t="n"/>
      <c r="D27" s="585" t="n"/>
      <c r="E27" s="586" t="n"/>
      <c r="F27" s="584" t="n"/>
      <c r="G27" s="585" t="n"/>
      <c r="H27" s="585" t="n"/>
      <c r="I27" s="585" t="n"/>
      <c r="J27" s="586" t="n"/>
      <c r="K27" s="779" t="inlineStr">
        <is>
          <t>傳真</t>
        </is>
      </c>
      <c r="L27" s="576" t="n"/>
      <c r="M27" s="1243" t="inlineStr">
        <is>
          <t>02-2322-5587</t>
        </is>
      </c>
      <c r="N27" s="579" t="n"/>
      <c r="O27" s="576" t="n"/>
    </row>
    <row r="28" ht="21" customHeight="1" s="683">
      <c r="C28" s="779" t="inlineStr">
        <is>
          <t>回傳通報機關時間</t>
        </is>
      </c>
      <c r="D28" s="579" t="n"/>
      <c r="E28" s="576" t="n"/>
      <c r="F28" s="767" t="inlineStr">
        <is>
          <t xml:space="preserve">　　　　年　　　　月　　　　日　　　　時　　　　分（24小時制）</t>
        </is>
      </c>
      <c r="G28" s="579" t="n"/>
      <c r="H28" s="579" t="n"/>
      <c r="I28" s="579" t="n"/>
      <c r="J28" s="579" t="n"/>
      <c r="K28" s="579" t="n"/>
      <c r="L28" s="579" t="n"/>
      <c r="M28" s="579" t="n"/>
      <c r="N28" s="579" t="n"/>
      <c r="O28" s="576" t="n"/>
    </row>
  </sheetData>
  <mergeCells count="58">
    <mergeCell ref="F28:O28"/>
    <mergeCell ref="F26:J27"/>
    <mergeCell ref="E3:O3"/>
    <mergeCell ref="K25:L25"/>
    <mergeCell ref="F5:H5"/>
    <mergeCell ref="B11:C16"/>
    <mergeCell ref="C20:E20"/>
    <mergeCell ref="E21:O21"/>
    <mergeCell ref="G13:L13"/>
    <mergeCell ref="F25:J25"/>
    <mergeCell ref="F8:H8"/>
    <mergeCell ref="M25:O25"/>
    <mergeCell ref="K5:O5"/>
    <mergeCell ref="M13:N16"/>
    <mergeCell ref="B17:P17"/>
    <mergeCell ref="K26:L26"/>
    <mergeCell ref="G15:L15"/>
    <mergeCell ref="C18:E19"/>
    <mergeCell ref="M27:O27"/>
    <mergeCell ref="E4:O4"/>
    <mergeCell ref="G14:L14"/>
    <mergeCell ref="C23:E23"/>
    <mergeCell ref="H22:M22"/>
    <mergeCell ref="C8:E8"/>
    <mergeCell ref="M26:O26"/>
    <mergeCell ref="C7:E7"/>
    <mergeCell ref="D11:F12"/>
    <mergeCell ref="L19:O19"/>
    <mergeCell ref="C28:E28"/>
    <mergeCell ref="C21:D21"/>
    <mergeCell ref="C26:E27"/>
    <mergeCell ref="G16:L16"/>
    <mergeCell ref="K8:O8"/>
    <mergeCell ref="O15:P16"/>
    <mergeCell ref="K6:O7"/>
    <mergeCell ref="K27:L27"/>
    <mergeCell ref="I5:J5"/>
    <mergeCell ref="E2:O2"/>
    <mergeCell ref="B2:B4"/>
    <mergeCell ref="F24:O24"/>
    <mergeCell ref="C1:O1"/>
    <mergeCell ref="F20:O20"/>
    <mergeCell ref="L18:O18"/>
    <mergeCell ref="P2:P4"/>
    <mergeCell ref="C6:E6"/>
    <mergeCell ref="C24:E24"/>
    <mergeCell ref="C10:O10"/>
    <mergeCell ref="C2:D4"/>
    <mergeCell ref="F6:H6"/>
    <mergeCell ref="C5:E5"/>
    <mergeCell ref="C9:O9"/>
    <mergeCell ref="F23:O23"/>
    <mergeCell ref="D13:F16"/>
    <mergeCell ref="F18:J19"/>
    <mergeCell ref="F7:H7"/>
    <mergeCell ref="I6:J8"/>
    <mergeCell ref="G11:P12"/>
    <mergeCell ref="C25:E25"/>
  </mergeCells>
  <pageMargins left="0.2362204724409449" right="0.2362204724409449" top="0.7480314960629921" bottom="0.7480314960629921" header="0.3149606299212598" footer="0.3149606299212598"/>
  <pageSetup orientation="portrait" paperSize="9" scale="93"/>
</worksheet>
</file>

<file path=xl/worksheets/sheet45.xml><?xml version="1.0" encoding="utf-8"?>
<worksheet xmlns="http://schemas.openxmlformats.org/spreadsheetml/2006/main">
  <sheetPr codeName="工作表7">
    <tabColor rgb="FFFFC000"/>
    <outlinePr summaryBelow="1" summaryRight="1"/>
    <pageSetUpPr/>
  </sheetPr>
  <dimension ref="A1:F27"/>
  <sheetViews>
    <sheetView view="pageBreakPreview" zoomScale="85" zoomScaleNormal="100" zoomScaleSheetLayoutView="85" workbookViewId="0">
      <selection activeCell="A11" sqref="A11:F13"/>
    </sheetView>
  </sheetViews>
  <sheetFormatPr baseColWidth="8" defaultRowHeight="16.5"/>
  <cols>
    <col width="25.25" customWidth="1" style="683" min="1" max="1"/>
    <col width="6.125" customWidth="1" style="683" min="2" max="3"/>
    <col width="19.25" customWidth="1" style="683" min="4" max="4"/>
    <col width="16.125" customWidth="1" style="683" min="5" max="5"/>
    <col width="14.5" customWidth="1" style="683" min="6" max="6"/>
    <col width="2.75" customWidth="1" style="683" min="7" max="62"/>
  </cols>
  <sheetData>
    <row r="1" ht="30" customHeight="1" s="683" thickBot="1">
      <c r="A1" s="858" t="inlineStr">
        <is>
          <t>贓物認領保管單</t>
        </is>
      </c>
      <c r="B1" s="851" t="n"/>
      <c r="C1" s="851" t="n"/>
      <c r="D1" s="851" t="n"/>
      <c r="E1" s="851" t="n"/>
      <c r="F1" s="851" t="n"/>
    </row>
    <row r="2" ht="21" customHeight="1" s="683" thickBot="1" thickTop="1">
      <c r="A2" s="65" t="inlineStr">
        <is>
          <t>品名</t>
        </is>
      </c>
      <c r="B2" s="64" t="inlineStr">
        <is>
          <t>單位</t>
        </is>
      </c>
      <c r="C2" s="64" t="inlineStr">
        <is>
          <t>數量</t>
        </is>
      </c>
      <c r="D2" s="64" t="inlineStr">
        <is>
          <t>規格</t>
        </is>
      </c>
      <c r="E2" s="64" t="inlineStr">
        <is>
          <t>特徵</t>
        </is>
      </c>
      <c r="F2" s="63" t="inlineStr">
        <is>
          <t>備考</t>
        </is>
      </c>
    </row>
    <row r="3" ht="41.25" customHeight="1" s="683" thickBot="1" thickTop="1">
      <c r="A3" s="62" t="n"/>
      <c r="B3" s="61" t="n"/>
      <c r="C3" s="61" t="n"/>
      <c r="D3" s="61" t="n"/>
      <c r="E3" s="60" t="n"/>
      <c r="F3" s="57" t="n"/>
    </row>
    <row r="4" ht="41.25" customHeight="1" s="683" thickBot="1" thickTop="1">
      <c r="A4" s="59" t="n"/>
      <c r="B4" s="58" t="n"/>
      <c r="C4" s="58" t="n"/>
      <c r="D4" s="58" t="n"/>
      <c r="E4" s="58" t="n"/>
      <c r="F4" s="57" t="n"/>
    </row>
    <row r="5" ht="41.25" customHeight="1" s="683" thickBot="1" thickTop="1">
      <c r="A5" s="59" t="n"/>
      <c r="B5" s="58" t="n"/>
      <c r="C5" s="58" t="n"/>
      <c r="D5" s="58" t="n"/>
      <c r="E5" s="58" t="n"/>
      <c r="F5" s="57" t="n"/>
    </row>
    <row r="6" ht="41.25" customHeight="1" s="683" thickBot="1" thickTop="1">
      <c r="A6" s="59" t="n"/>
      <c r="B6" s="58" t="n"/>
      <c r="C6" s="58" t="n"/>
      <c r="D6" s="58" t="n"/>
      <c r="E6" s="58" t="n"/>
      <c r="F6" s="57" t="n"/>
    </row>
    <row r="7" ht="41.25" customHeight="1" s="683" thickBot="1" thickTop="1">
      <c r="A7" s="59" t="n"/>
      <c r="B7" s="58" t="n"/>
      <c r="C7" s="58" t="n"/>
      <c r="D7" s="58" t="n"/>
      <c r="E7" s="58" t="n"/>
      <c r="F7" s="57" t="n"/>
    </row>
    <row r="8" ht="41.25" customHeight="1" s="683" thickBot="1" thickTop="1">
      <c r="A8" s="59" t="n"/>
      <c r="B8" s="58" t="n"/>
      <c r="C8" s="58" t="n"/>
      <c r="D8" s="58" t="n"/>
      <c r="E8" s="58" t="n"/>
      <c r="F8" s="57" t="n"/>
    </row>
    <row r="9" ht="41.25" customHeight="1" s="683" thickBot="1" thickTop="1">
      <c r="A9" s="59" t="n"/>
      <c r="B9" s="58" t="n"/>
      <c r="C9" s="58" t="n"/>
      <c r="D9" s="58" t="n"/>
      <c r="E9" s="58" t="n"/>
      <c r="F9" s="57" t="n"/>
    </row>
    <row r="10" ht="8.25" customHeight="1" s="683" thickTop="1">
      <c r="A10" s="56" t="n"/>
      <c r="B10" s="56" t="n"/>
      <c r="C10" s="56" t="n"/>
      <c r="D10" s="56" t="n"/>
      <c r="E10" s="56" t="n"/>
      <c r="F10" s="56" t="n"/>
    </row>
    <row r="11" ht="23.25" customHeight="1" s="683">
      <c r="A11" s="859">
        <f>CONCATENATE("上列物品係本人於民國",下拉用!$J$4,"在",輸入!$C$7,"遭",呈報單!$G$15,"，於報案後經貴單位查(破)獲並經本人認明相符，蒙將遭",呈報單!$G$15,"之物品發還具領保管，如有冒領情事願負法律責任。（貴重物品附保證人蓋章及",呈報單!$G$15,"報案證明）")</f>
        <v/>
      </c>
    </row>
    <row r="12" ht="23.25" customHeight="1" s="683"/>
    <row r="13" ht="23.25" customHeight="1" s="683"/>
    <row r="14" ht="12" customHeight="1" s="683">
      <c r="A14" s="859" t="n"/>
      <c r="B14" s="859" t="n"/>
      <c r="C14" s="859" t="n"/>
      <c r="D14" s="859" t="n"/>
      <c r="E14" s="859" t="n"/>
      <c r="F14" s="859" t="n"/>
    </row>
    <row r="15" ht="23.25" customHeight="1" s="683">
      <c r="A15" s="52" t="inlineStr">
        <is>
          <t>此    致</t>
        </is>
      </c>
    </row>
    <row r="16" ht="33" customHeight="1" s="683">
      <c r="A16" s="53">
        <f>CONCATENATE(輸入!$S$18,輸入!$T$18,輸入!$S$19,輸入!$T$19)</f>
        <v/>
      </c>
    </row>
    <row r="17" ht="30" customHeight="1" s="683">
      <c r="A17" s="52" t="inlineStr">
        <is>
          <t xml:space="preserve">           具領人：</t>
        </is>
      </c>
      <c r="B17" s="52" t="n"/>
      <c r="C17" s="52" t="n"/>
      <c r="D17" s="52" t="inlineStr">
        <is>
          <t>職業：</t>
        </is>
      </c>
      <c r="E17" s="52" t="n"/>
      <c r="F17" s="52" t="n"/>
    </row>
    <row r="18" ht="30" customHeight="1" s="683">
      <c r="A18" s="860" t="inlineStr">
        <is>
          <t xml:space="preserve">           出生年月日：</t>
        </is>
      </c>
      <c r="B18" s="860" t="n"/>
      <c r="C18" s="860" t="n"/>
      <c r="D18" s="860" t="n"/>
      <c r="E18" s="860" t="n"/>
      <c r="F18" s="860" t="n"/>
    </row>
    <row r="19" ht="30" customHeight="1" s="683">
      <c r="A19" s="52" t="inlineStr">
        <is>
          <t xml:space="preserve">           身分証號碼：</t>
        </is>
      </c>
    </row>
    <row r="20" ht="30" customHeight="1" s="683">
      <c r="A20" s="860" t="inlineStr">
        <is>
          <t xml:space="preserve">           住址：</t>
        </is>
      </c>
    </row>
    <row r="21" ht="30" customHeight="1" s="683">
      <c r="A21" s="55" t="n"/>
    </row>
    <row r="22" ht="30" customHeight="1" s="683">
      <c r="A22" s="52" t="inlineStr">
        <is>
          <t xml:space="preserve">　　　　　　保證人：　　　　　　</t>
        </is>
      </c>
      <c r="B22" s="67" t="n"/>
      <c r="C22" s="67" t="n"/>
      <c r="D22" s="52" t="inlineStr">
        <is>
          <t>商號名稱：</t>
        </is>
      </c>
    </row>
    <row r="23" ht="30" customHeight="1" s="683">
      <c r="A23" s="66" t="inlineStr">
        <is>
          <t xml:space="preserve">　　　　　　姓名：                           </t>
        </is>
      </c>
      <c r="B23" s="67" t="n"/>
      <c r="C23" s="67" t="n"/>
      <c r="D23" s="52" t="inlineStr">
        <is>
          <t>聯絡電話：</t>
        </is>
      </c>
    </row>
    <row r="24" ht="30" customHeight="1" s="683">
      <c r="A24" s="52" t="inlineStr">
        <is>
          <t xml:space="preserve">　　　　　　住址：</t>
        </is>
      </c>
      <c r="B24" s="67" t="n"/>
      <c r="C24" s="67" t="n"/>
      <c r="D24" s="67" t="n"/>
    </row>
    <row r="25" ht="22.5" customHeight="1" s="683">
      <c r="A25" s="54" t="n"/>
    </row>
    <row r="26" ht="18.75" customHeight="1" s="683">
      <c r="A26" s="54" t="n"/>
    </row>
    <row r="27" ht="25.5" customHeight="1" s="683">
      <c r="A27" s="53" t="inlineStr">
        <is>
          <t>中  華  民  國　　　　年　　　　月　　　　日</t>
        </is>
      </c>
    </row>
  </sheetData>
  <mergeCells count="2">
    <mergeCell ref="A11:F13"/>
    <mergeCell ref="A1:F1"/>
  </mergeCells>
  <pageMargins left="0.7" right="0.7" top="0.75" bottom="0.75" header="0.3" footer="0.3"/>
  <pageSetup orientation="portrait" paperSize="9" scale="95"/>
</worksheet>
</file>

<file path=xl/worksheets/sheet46.xml><?xml version="1.0" encoding="utf-8"?>
<worksheet xmlns="http://schemas.openxmlformats.org/spreadsheetml/2006/main">
  <sheetPr codeName="工作表40">
    <tabColor theme="9" tint="-0.499984740745262"/>
    <outlinePr summaryBelow="1" summaryRight="1"/>
    <pageSetUpPr/>
  </sheetPr>
  <dimension ref="A1:K9"/>
  <sheetViews>
    <sheetView view="pageBreakPreview" zoomScale="85" zoomScaleNormal="100" zoomScaleSheetLayoutView="85" zoomScalePageLayoutView="55" workbookViewId="0">
      <selection activeCell="B4" sqref="B4:K4"/>
    </sheetView>
  </sheetViews>
  <sheetFormatPr baseColWidth="8" defaultRowHeight="16.5"/>
  <cols>
    <col width="8.375" customWidth="1" style="593" min="1" max="1"/>
    <col width="17.375" customWidth="1" style="593" min="2" max="2"/>
    <col width="6.625" customWidth="1" style="593" min="3" max="3"/>
    <col width="5.75" customWidth="1" style="593" min="4" max="4"/>
    <col width="7" customWidth="1" style="593" min="5" max="5"/>
    <col width="1.5" customWidth="1" style="593" min="6" max="6"/>
    <col width="5.5" customWidth="1" style="593" min="7" max="7"/>
    <col width="6.125" customWidth="1" style="593" min="8" max="8"/>
    <col width="2.25" customWidth="1" style="593" min="9" max="9"/>
    <col width="4.375" customWidth="1" style="593" min="10" max="10"/>
    <col width="19" customWidth="1" style="593" min="11" max="11"/>
    <col width="9" customWidth="1" style="593" min="12" max="13"/>
    <col width="9" customWidth="1" style="593" min="14" max="16384"/>
  </cols>
  <sheetData>
    <row r="1" ht="25.5" customHeight="1" s="683">
      <c r="A1" s="1251">
        <f>CONCATENATE(,輸入!S18,輸入!T18,輸入!S19,輸入!T19,"執行勤務績效獎勵金申請陳報單")</f>
        <v/>
      </c>
      <c r="B1" s="734" t="n"/>
      <c r="C1" s="734" t="n"/>
      <c r="D1" s="734" t="n"/>
      <c r="E1" s="734" t="n"/>
      <c r="F1" s="734" t="n"/>
      <c r="G1" s="734" t="n"/>
      <c r="H1" s="360" t="inlineStr">
        <is>
          <t>日期：</t>
        </is>
      </c>
      <c r="I1" s="276" t="n"/>
      <c r="J1" s="1339">
        <f>LEFT(呈報單!$G$13,10)</f>
        <v/>
      </c>
      <c r="K1" s="1257" t="n"/>
    </row>
    <row r="2" ht="25.5" customHeight="1" s="683">
      <c r="A2" s="725" t="n"/>
      <c r="H2" s="1255" t="inlineStr">
        <is>
          <t>所長核章：</t>
        </is>
      </c>
      <c r="I2" s="579" t="n"/>
      <c r="J2" s="579" t="n"/>
      <c r="K2" s="1253" t="n"/>
    </row>
    <row r="3" ht="32.25" customHeight="1" s="683">
      <c r="A3" s="361" t="inlineStr">
        <is>
          <t>單位</t>
        </is>
      </c>
      <c r="B3" s="697">
        <f>CONCATENATE(輸入!$S$20,"所")</f>
        <v/>
      </c>
      <c r="C3" s="697" t="inlineStr">
        <is>
          <t>職別</t>
        </is>
      </c>
      <c r="D3" s="697" t="inlineStr">
        <is>
          <t>警員</t>
        </is>
      </c>
      <c r="E3" s="576" t="n"/>
      <c r="F3" s="694" t="inlineStr">
        <is>
          <t>姓名</t>
        </is>
      </c>
      <c r="G3" s="579" t="n"/>
      <c r="H3" s="1254">
        <f>輸入!$O$8</f>
        <v/>
      </c>
      <c r="I3" s="579" t="n"/>
      <c r="J3" s="579" t="n"/>
      <c r="K3" s="1253" t="n"/>
    </row>
    <row r="4" ht="366" customHeight="1" s="683">
      <c r="A4" s="362" t="inlineStr">
        <is>
          <t>優良具體事蹟</t>
        </is>
      </c>
      <c r="B4" s="1252">
        <f>CONCATENATE("    本所警員",輸入!$O$8,"執行勤務時，於",IF(ISBLANK(輸入!$C$11),下拉用!$J$13,下拉用!$J$5),"查獲",word用!$H$2,呈報單!$G$15,"案乙件，全案移送偵查隊處理。",輸入!$O$8,"員等人積極緝捕，獲致績效，陳報鈞長頒發績效獎勵金以資鼓勵。")</f>
        <v/>
      </c>
      <c r="C4" s="579" t="n"/>
      <c r="D4" s="579" t="n"/>
      <c r="E4" s="579" t="n"/>
      <c r="F4" s="579" t="n"/>
      <c r="G4" s="579" t="n"/>
      <c r="H4" s="579" t="n"/>
      <c r="I4" s="579" t="n"/>
      <c r="J4" s="579" t="n"/>
      <c r="K4" s="1253" t="n"/>
    </row>
    <row r="5" ht="55.5" customHeight="1" s="683">
      <c r="A5" s="363" t="inlineStr">
        <is>
          <t>隨附事證</t>
        </is>
      </c>
      <c r="B5" s="1255" t="inlineStr">
        <is>
          <t>刑案陳報單、移送書</t>
        </is>
      </c>
      <c r="C5" s="579" t="n"/>
      <c r="D5" s="579" t="n"/>
      <c r="E5" s="579" t="n"/>
      <c r="F5" s="579" t="n"/>
      <c r="G5" s="579" t="n"/>
      <c r="H5" s="579" t="n"/>
      <c r="I5" s="579" t="n"/>
      <c r="J5" s="579" t="n"/>
      <c r="K5" s="1253" t="n"/>
    </row>
    <row r="6" ht="70.5" customHeight="1" s="683">
      <c r="A6" s="365" t="inlineStr">
        <is>
          <t>擬辦</t>
        </is>
      </c>
      <c r="B6" s="163" t="n"/>
      <c r="C6" s="358" t="n"/>
      <c r="D6" s="358" t="n"/>
      <c r="E6" s="358" t="n"/>
      <c r="F6" s="358" t="n"/>
      <c r="G6" s="358" t="n"/>
      <c r="H6" s="358" t="n"/>
      <c r="I6" s="358" t="n"/>
      <c r="J6" s="358" t="n"/>
      <c r="K6" s="364" t="n"/>
    </row>
    <row r="7" ht="24.75" customHeight="1" s="683">
      <c r="A7" s="366" t="inlineStr">
        <is>
          <t>會辦</t>
        </is>
      </c>
      <c r="B7" s="258" t="n"/>
      <c r="C7" s="50" t="n"/>
      <c r="D7" s="50" t="n"/>
      <c r="E7" s="50" t="n"/>
      <c r="F7" s="50" t="n"/>
      <c r="G7" s="50" t="n"/>
      <c r="H7" s="50" t="n"/>
      <c r="I7" s="50" t="n"/>
      <c r="J7" s="50" t="n"/>
      <c r="K7" s="340" t="n"/>
    </row>
    <row r="8" ht="45.75" customHeight="1" s="683">
      <c r="A8" s="367" t="inlineStr">
        <is>
          <t>（督察組查證）</t>
        </is>
      </c>
      <c r="B8" s="359" t="n"/>
      <c r="C8" s="49" t="n"/>
      <c r="D8" s="49" t="n"/>
      <c r="E8" s="49" t="n"/>
      <c r="F8" s="49" t="n"/>
      <c r="G8" s="49" t="n"/>
      <c r="H8" s="49" t="n"/>
      <c r="I8" s="49" t="n"/>
      <c r="J8" s="49" t="n"/>
      <c r="K8" s="368" t="n"/>
    </row>
    <row r="9" ht="70.5" customHeight="1" s="683" thickBot="1">
      <c r="A9" s="369" t="inlineStr">
        <is>
          <t>批示</t>
        </is>
      </c>
      <c r="B9" s="370" t="n"/>
      <c r="C9" s="371" t="n"/>
      <c r="D9" s="371" t="n"/>
      <c r="E9" s="371" t="n"/>
      <c r="F9" s="371" t="n"/>
      <c r="G9" s="371" t="n"/>
      <c r="H9" s="371" t="n"/>
      <c r="I9" s="371" t="n"/>
      <c r="J9" s="371" t="n"/>
      <c r="K9" s="372" t="n"/>
    </row>
  </sheetData>
  <mergeCells count="8">
    <mergeCell ref="F3:G3"/>
    <mergeCell ref="A1:G2"/>
    <mergeCell ref="B4:K4"/>
    <mergeCell ref="H3:K3"/>
    <mergeCell ref="H2:K2"/>
    <mergeCell ref="J1:K1"/>
    <mergeCell ref="D3:E3"/>
    <mergeCell ref="B5:K5"/>
  </mergeCells>
  <printOptions horizontalCentered="1"/>
  <pageMargins left="0.7480314960629921" right="0.7480314960629921" top="1.338582677165354" bottom="0.7480314960629921" header="0.3149606299212598" footer="0.3149606299212598"/>
  <pageSetup orientation="portrait" paperSize="9"/>
</worksheet>
</file>

<file path=xl/worksheets/sheet47.xml><?xml version="1.0" encoding="utf-8"?>
<worksheet xmlns="http://schemas.openxmlformats.org/spreadsheetml/2006/main">
  <sheetPr codeName="工作表52">
    <outlinePr summaryBelow="1" summaryRight="1"/>
    <pageSetUpPr/>
  </sheetPr>
  <dimension ref="A1:AD39"/>
  <sheetViews>
    <sheetView topLeftCell="D1" workbookViewId="0">
      <selection activeCell="P1" sqref="P1:AB1048576"/>
    </sheetView>
  </sheetViews>
  <sheetFormatPr baseColWidth="8" defaultRowHeight="30" customHeight="1"/>
  <cols>
    <col width="17.5" customWidth="1" style="33" min="1" max="1"/>
    <col width="12" customWidth="1" style="33" min="2" max="2"/>
    <col width="9" customWidth="1" style="33" min="3" max="7"/>
    <col width="12.375" customWidth="1" style="33" min="8" max="8"/>
    <col width="9" customWidth="1" style="33" min="9" max="10"/>
    <col width="10.375" customWidth="1" style="33" min="11" max="11"/>
    <col width="9" customWidth="1" style="33" min="12" max="13"/>
    <col width="9" customWidth="1" style="33" min="14" max="19"/>
    <col width="13" customWidth="1" style="683" min="15" max="15"/>
    <col width="13" customWidth="1" style="683" min="16" max="16"/>
    <col width="13" customWidth="1" style="683" min="17" max="17"/>
    <col width="13" customWidth="1" style="683" min="18" max="18"/>
    <col width="13" customWidth="1" style="683" min="19" max="19"/>
    <col width="13" customWidth="1" style="683" min="20" max="27"/>
    <col width="13" customWidth="1" style="683" min="21" max="21"/>
    <col width="13" customWidth="1" style="683" min="22" max="22"/>
    <col width="13" customWidth="1" style="683" min="23" max="23"/>
    <col width="13" customWidth="1" style="683" min="24" max="24"/>
    <col width="13" customWidth="1" style="683" min="25" max="25"/>
    <col width="13" customWidth="1" style="683" min="26" max="26"/>
    <col width="13" customWidth="1" style="683" min="27" max="27"/>
    <col width="13" customWidth="1" style="33" min="28" max="16384"/>
    <col width="13" customWidth="1" style="683" min="29" max="29"/>
    <col width="13" customWidth="1" style="683" min="30" max="30"/>
  </cols>
  <sheetData>
    <row r="1" ht="38.25" customHeight="1" s="683">
      <c r="A1" s="396" t="inlineStr">
        <is>
          <t>被害人通用</t>
        </is>
      </c>
      <c r="B1" s="397" t="inlineStr">
        <is>
          <t>過失傷害</t>
        </is>
      </c>
      <c r="C1" s="397" t="inlineStr">
        <is>
          <t>傷害</t>
        </is>
      </c>
      <c r="D1" s="397" t="inlineStr">
        <is>
          <t>竊盜</t>
        </is>
      </c>
      <c r="E1" s="397" t="inlineStr">
        <is>
          <t>侵占</t>
        </is>
      </c>
      <c r="F1" s="397" t="inlineStr">
        <is>
          <t>毀損</t>
        </is>
      </c>
      <c r="G1" s="397" t="inlineStr">
        <is>
          <t>妨害電腦使用</t>
        </is>
      </c>
      <c r="H1" s="397" t="inlineStr">
        <is>
          <t>妨害名譽</t>
        </is>
      </c>
      <c r="I1" s="397" t="inlineStr">
        <is>
          <t>恐嚇</t>
        </is>
      </c>
      <c r="J1" s="397" t="inlineStr">
        <is>
          <t>過失傷害</t>
        </is>
      </c>
      <c r="K1" s="397" t="inlineStr">
        <is>
          <t>違反保護令</t>
        </is>
      </c>
      <c r="L1" s="601" t="inlineStr">
        <is>
          <t>妨害自由</t>
        </is>
      </c>
      <c r="M1" s="33" t="inlineStr">
        <is>
          <t>偽造文書</t>
        </is>
      </c>
      <c r="N1" s="33" t="inlineStr">
        <is>
          <t>跟蹤騷擾</t>
        </is>
      </c>
      <c r="O1" s="33" t="inlineStr">
        <is>
          <t>誣告</t>
        </is>
      </c>
      <c r="P1" s="33" t="inlineStr">
        <is>
          <t>詐欺</t>
        </is>
      </c>
      <c r="Q1" s="33" t="inlineStr">
        <is>
          <t>毒品危害防制條例</t>
        </is>
      </c>
      <c r="R1" s="33" t="inlineStr">
        <is>
          <t>公共危險</t>
        </is>
      </c>
      <c r="S1" s="33" t="n"/>
      <c r="T1" s="33" t="n"/>
      <c r="U1" s="33" t="n"/>
      <c r="V1" s="33" t="n"/>
      <c r="W1" s="33" t="n"/>
      <c r="X1" s="33" t="n"/>
      <c r="Y1" s="33" t="n"/>
      <c r="Z1" s="33" t="n"/>
      <c r="AA1" s="33" t="n"/>
      <c r="AB1" s="33" t="n"/>
      <c r="AC1" s="33" t="n"/>
      <c r="AD1" s="33" t="n"/>
    </row>
    <row r="2" ht="30" customHeight="1" s="683">
      <c r="A2" s="239">
        <f>CONCATENATE("你今(",MID(輸入!$C$10,6,2),")日因何事接受警方製作筆錄？")</f>
        <v/>
      </c>
      <c r="B2" s="398"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C2" s="398" t="inlineStr">
        <is>
          <t>你於何時、何地如何遭人傷害？因何事與對方起爭執？他為何要傷害你？請詳述案發經過。</t>
        </is>
      </c>
      <c r="D2" s="398" t="inlineStr">
        <is>
          <t>你於何時、何地如何發現你的財物遭何人竊取？該竊嫌竊取物品時的裝扮、特徵？如何竊取？過程為何？遭竊取的財物為何？數量為何？價值多少？請詳述之。</t>
        </is>
      </c>
      <c r="E2" s="398" t="inlineStr">
        <is>
          <t>妳是於何時、何地，遭何人侵占？請問你為何將該物放置於此？該人是如何侵占你的物品？請詳述之。</t>
        </is>
      </c>
      <c r="F2" s="247" t="inlineStr">
        <is>
          <t>你是何時、何地、以何方式，發現你的物品遭毀損？請詳述之。</t>
        </is>
      </c>
      <c r="G2" s="247" t="inlineStr">
        <is>
          <t>你居住地址為何？你的公司是？你公司的位置為何？電子郵件為何？</t>
        </is>
      </c>
      <c r="H2" s="247" t="inlineStr">
        <is>
          <t>你於何時、何地、如何遭人妨害名譽？請詳述案發經過。</t>
        </is>
      </c>
      <c r="I2" s="247" t="inlineStr">
        <is>
          <t>你於何時？何地？遭何人恐嚇？</t>
        </is>
      </c>
      <c r="J2" s="398"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K2" s="247" t="inlineStr">
        <is>
          <t>你所申請保護令的主文為何？發文日期為何？其文號為何？</t>
        </is>
      </c>
      <c r="L2" s="33" t="inlineStr">
        <is>
          <t>上記年籍資料是否正確？目前從事何業？有無前科？</t>
        </is>
      </c>
      <c r="M2" s="33" t="inlineStr">
        <is>
          <t>上記年籍資料是否正確？目前從事何業？</t>
        </is>
      </c>
      <c r="N2" s="33" t="inlineStr">
        <is>
          <t>上記年籍資料是否正確？目前從事何業？</t>
        </is>
      </c>
      <c r="O2" s="33" t="inlineStr">
        <is>
          <t>上記年籍資料是否正確？目前從事何業？</t>
        </is>
      </c>
      <c r="P2" s="33" t="inlineStr">
        <is>
          <t>對方對你說了什麼，或向你顯示了哪些內容？</t>
        </is>
      </c>
      <c r="Q2" s="33" t="inlineStr">
        <is>
          <t>你知道涉及物質的名稱、外觀或來源嗎？</t>
        </is>
      </c>
      <c r="R2" s="33" t="inlineStr">
        <is>
          <t>你知道駕駛人在駕駛前有何飲酒或用藥情形嗎？</t>
        </is>
      </c>
      <c r="S2" s="33" t="n"/>
      <c r="T2" s="33" t="n"/>
      <c r="U2" s="33" t="n"/>
      <c r="V2" s="33" t="n"/>
      <c r="W2" s="33" t="n"/>
      <c r="X2" s="33" t="n"/>
      <c r="Y2" s="33" t="n"/>
      <c r="Z2" s="33" t="n"/>
      <c r="AA2" s="33" t="n"/>
      <c r="AB2" s="33" t="n"/>
      <c r="AC2" s="33" t="n"/>
      <c r="AD2" s="33" t="n"/>
    </row>
    <row r="3" ht="30" customHeight="1" s="683">
      <c r="A3" s="239" t="inlineStr">
        <is>
          <t>是否知悉該犯罪嫌疑人（被告）的長相？穿著特徵？及其身分資料？</t>
        </is>
      </c>
      <c r="B3" s="48" t="inlineStr">
        <is>
          <t>當時的天氣如何?視野如何視線是否有遭遮蔽?標誌標線是否清楚？</t>
        </is>
      </c>
      <c r="C3" s="247" t="inlineStr">
        <is>
          <t>你有無打（反擊）該名？是否有造成對方受傷？</t>
        </is>
      </c>
      <c r="D3" s="247" t="inlineStr">
        <is>
          <t>你的財物遭竊取當時你是否在場？是否有人看管？</t>
        </is>
      </c>
      <c r="E3" s="247" t="inlineStr">
        <is>
          <t>你遭侵占的物品特徵、價值、數量為何？</t>
        </is>
      </c>
      <c r="F3" s="247" t="inlineStr">
        <is>
          <t>妳遭毀損何物？價值為何？你為何會認為你遭染色之衣物是遭故意毀棄、損壞或致令不堪用？</t>
        </is>
      </c>
      <c r="G3" s="247" t="inlineStr">
        <is>
          <t>你於犯罪發生或發現之時間及地點（涉及網路或行動通訊，其犯罪行為實體時地不明時，應詢問上網或接獲通訊之時間及地點）？如何發現？犯罪過程？</t>
        </is>
      </c>
      <c r="H3" s="247" t="inlineStr">
        <is>
          <t>請問他對你的侮辱(沒有敘述具體的事實，單純的謾罵、侮辱的行為、文字或圖片)是否有故意貶低你的人格、名譽、尊嚴？其行為為何？</t>
        </is>
      </c>
      <c r="I3" s="247" t="inlineStr">
        <is>
          <t>對方以何種方式(文字、言詞或其他方式)對你恐嚇？</t>
        </is>
      </c>
      <c r="J3" s="48" t="inlineStr">
        <is>
          <t>當時的天氣如何?視野如何視線是否有遭遮蔽?標誌標線是否清楚？</t>
        </is>
      </c>
      <c r="K3" s="247" t="inlineStr">
        <is>
          <t>我是○○○年○○月○○日聲請，文號為臺灣新北地方法院跟蹤騷擾保護令文號為○○○年度○○字第○○○號。該保護令內容為「一、相對人不能對被聲請人實施身體或精神上不法侵害之行為。二、相對人不得對聲請人為下列聯絡行為：騷擾。三、本保護令之有效期間為○年。」</t>
        </is>
      </c>
      <c r="L3" s="33" t="inlineStr">
        <is>
          <t>你於何時？何地？遭何人妨害自由（強制罪）？請詳述案發經過。</t>
        </is>
      </c>
      <c r="M3" s="33" t="inlineStr">
        <is>
          <t>你於何時、何地發現遭人冒用身分或偽造文書之情事？請詳述經過。</t>
        </is>
      </c>
      <c r="N3" s="33" t="inlineStr">
        <is>
          <t>你遭行為人實施跟蹤騷擾行為，一共發生幾次或持續多久？</t>
        </is>
      </c>
      <c r="O3" s="33" t="inlineStr">
        <is>
          <t>你於何時、何地遭何人誣告？請詳述經過。</t>
        </is>
      </c>
      <c r="P3" s="33" t="inlineStr">
        <is>
          <t>哪些內容使你相信對方的說法？</t>
        </is>
      </c>
      <c r="Q3" s="33" t="inlineStr">
        <is>
          <t>你看見該物質由誰保管或控制？</t>
        </is>
      </c>
      <c r="R3" s="33" t="inlineStr">
        <is>
          <t>你看見車輛如何行駛？</t>
        </is>
      </c>
      <c r="S3" s="33" t="n"/>
      <c r="T3" s="33" t="n"/>
      <c r="U3" s="33" t="n"/>
      <c r="V3" s="33" t="n"/>
      <c r="W3" s="33" t="n"/>
      <c r="X3" s="33" t="n"/>
      <c r="Y3" s="33" t="n"/>
      <c r="Z3" s="33" t="n"/>
      <c r="AA3" s="33" t="n"/>
      <c r="AB3" s="33" t="n"/>
      <c r="AC3" s="33" t="n"/>
      <c r="AD3" s="33" t="n"/>
    </row>
    <row r="4" ht="30" customHeight="1" s="683">
      <c r="A4" s="239">
        <f>CONCATENATE("警方提供指認犯罪嫌疑人紀錄，編號一至六號中，何者為",呈報單!$G$15,"的犯嫌？(犯嫌可能不在指認表中)")</f>
        <v/>
      </c>
      <c r="B4" s="48" t="inlineStr">
        <is>
          <t>發生擦撞之撞擊部位為何？車輀受損狀況？是否有估價單？</t>
        </is>
      </c>
      <c r="C4" s="247" t="inlineStr">
        <is>
          <t>用何種器具傷害你身體何處？使你何處受傷，傷勢如何？在哪家醫院診斷？是否能提出診斷證明書？</t>
        </is>
      </c>
      <c r="D4" s="247" t="inlineStr">
        <is>
          <t>承上述，你是否有上鎖？該竊嫌是否有使用工具竊取？</t>
        </is>
      </c>
      <c r="E4" s="247" t="inlineStr">
        <is>
          <t>你是否知道誰取走你的物品與侵占你物品之人的裝扮、特徵？</t>
        </is>
      </c>
      <c r="F4" s="247" t="inlineStr">
        <is>
          <t>該遭毀損之物為何人所有？在何處遭到毀損？以何方式遭到毀損？毀損程度如何？除對你住所（或所有物）毀損外，有無其他侵害行為？</t>
        </is>
      </c>
      <c r="G4" s="247" t="inlineStr">
        <is>
          <t>你的現住地及戶籍地</t>
        </is>
      </c>
      <c r="H4" s="247" t="inlineStr">
        <is>
          <t>請問他是否在公然的場所侮辱你？第三人是否可以聽得見、看得見、知情？是否有散布於眾？散布於何處？</t>
        </is>
      </c>
      <c r="I4" s="247" t="inlineStr">
        <is>
          <t>你看到對方恐嚇你的方式有何感受？</t>
        </is>
      </c>
      <c r="J4" s="48" t="inlineStr">
        <is>
          <t>發生擦撞之撞擊部位為何？車輀受損狀況？是否有估價單？</t>
        </is>
      </c>
      <c r="K4" s="247" t="inlineStr">
        <is>
          <t>你是否知道是何人違反你所聲請的保護令（保護令文號為○○○年度○○字第○○○號）？其年籍資料為何？</t>
        </is>
      </c>
      <c r="L4" s="33" t="inlineStr">
        <is>
          <t>對方是以何種行為限制你行動自由？（例如：肢體阻擋、鎖門、脅迫等）</t>
        </is>
      </c>
      <c r="M4" s="33" t="inlineStr">
        <is>
          <t>你如何確定遭他人偽造文書？對方以何種方式冒用你的名義？</t>
        </is>
      </c>
      <c r="N4" s="33" t="inlineStr">
        <is>
          <t>行為人第一次於何時、何地、以何種方式對你實施跟蹤騷擾行為？</t>
        </is>
      </c>
      <c r="O4" s="33" t="inlineStr">
        <is>
          <t>對方誣告你的內容為何？對方對你所為之指控具體為何？</t>
        </is>
      </c>
      <c r="P4" s="33" t="inlineStr">
        <is>
          <t>你因為對方的說法做了哪些付款、交付或其他處分？</t>
        </is>
      </c>
      <c r="Q4" s="33" t="inlineStr">
        <is>
          <t>你知道取得方式或用途嗎？</t>
        </is>
      </c>
      <c r="R4" s="33" t="inlineStr">
        <is>
          <t>你是否在場看見任何檢測程序？</t>
        </is>
      </c>
      <c r="S4" s="33" t="n"/>
      <c r="T4" s="33" t="n"/>
      <c r="U4" s="33" t="n"/>
      <c r="V4" s="33" t="n"/>
      <c r="W4" s="33" t="n"/>
      <c r="X4" s="33" t="n"/>
      <c r="Y4" s="33" t="n"/>
      <c r="Z4" s="33" t="n"/>
      <c r="AA4" s="33" t="n"/>
      <c r="AB4" s="33" t="n"/>
      <c r="AC4" s="33" t="n"/>
      <c r="AD4" s="33" t="n"/>
    </row>
    <row r="5" ht="30" customHeight="1" s="683">
      <c r="A5" s="239" t="inlineStr">
        <is>
          <t>對於特定或不特定人士做不實指控或謊報、隱匿實情，致使公務人員於文書登載不實必須擔負法律責任，是否清楚？</t>
        </is>
      </c>
      <c r="B5" s="247" t="inlineStr">
        <is>
          <t>當時為何人駕駛？車號車種為何？你車上共乘幾人？對方駕駛為何人？車號車種為何？對方車上共乘幾人？</t>
        </is>
      </c>
      <c r="C5" s="247" t="inlineStr">
        <is>
          <t>有無其他物品遭毀損？</t>
        </is>
      </c>
      <c r="D5" s="247" t="inlineStr">
        <is>
          <t>該竊嫌是否有同伙？有幾人？往何方向逃逸？</t>
        </is>
      </c>
      <c r="E5" s="247" t="inlineStr">
        <is>
          <t>你是否清楚侵占你物品的人使用何交通工具？往何處逃逸？</t>
        </is>
      </c>
      <c r="F5" s="247" t="inlineStr">
        <is>
          <t>該名犯嫌是以何種方式毀損你之財物？有無使用工具？何種工具？逃逸時，有無使用交通工具？</t>
        </is>
      </c>
      <c r="G5" s="247" t="inlineStr">
        <is>
          <t>你們本次的交易內容是？你是否知道他們的交易商品為何？金額為何？</t>
        </is>
      </c>
      <c r="H5" s="247" t="inlineStr">
        <is>
          <t>你是否如何知悉他所罵是你？</t>
        </is>
      </c>
      <c r="I5" s="247" t="inlineStr">
        <is>
          <t>對方以何種平台或管道對你恐嚇？其可供識別之ID、名稱或聯絡方式為何？</t>
        </is>
      </c>
      <c r="J5" s="247" t="inlineStr">
        <is>
          <t>當時為何人駕駛？車號車種為何？你車上共乘幾人？對方駕駛為何人？車號車種為何？對方車上共乘幾人？</t>
        </is>
      </c>
      <c r="K5" s="247" t="inlineStr">
        <is>
          <t>相對人○○○何時、何地對你違反保護令？相對人違反保護令之行為態樣為何？相對人違反保護令之行為態樣有無證據提供給警方？</t>
        </is>
      </c>
      <c r="L5" s="33" t="inlineStr">
        <is>
          <t>對方之行為是否使你無法自由離去、被迫行無義務之事？</t>
        </is>
      </c>
      <c r="M5" s="33" t="inlineStr">
        <is>
          <t>你的身分證、健保卡、印章、存摺等文件是否曾遺失或遭人竊取、借走？</t>
        </is>
      </c>
      <c r="N5" s="33" t="inlineStr">
        <is>
          <t>行為人是否有監視、觀察、跟蹤、盯梢、守候或尾隨你？請詳述情形。</t>
        </is>
      </c>
      <c r="O5" s="33" t="inlineStr">
        <is>
          <t>對方提告內容是否為扭曲捏造、無中生有之事？你如何認定渠意圖使你受刑事上處分？</t>
        </is>
      </c>
      <c r="P5" s="33" t="inlineStr">
        <is>
          <t>請說明款項、帳戶、時間及交易方式。</t>
        </is>
      </c>
      <c r="Q5" s="33" t="n"/>
      <c r="R5" s="33" t="n"/>
      <c r="S5" s="33" t="n"/>
      <c r="T5" s="33" t="n"/>
      <c r="U5" s="33" t="n"/>
      <c r="V5" s="33" t="n"/>
      <c r="W5" s="33" t="n"/>
      <c r="X5" s="33" t="n"/>
      <c r="Y5" s="33" t="n"/>
      <c r="Z5" s="33" t="n"/>
      <c r="AA5" s="33" t="n"/>
      <c r="AB5" s="33" t="n"/>
      <c r="AC5" s="33" t="n"/>
      <c r="AD5" s="33" t="n"/>
    </row>
    <row r="6" ht="30" customHeight="1" s="683">
      <c r="A6" s="239" t="inlineStr">
        <is>
          <t>現場有無裝設監視器或其他人見聞？時間有無誤差？有無聯絡方式？有無佐證資料可提供警方?或有利事證須請警方協助調查?</t>
        </is>
      </c>
      <c r="B6" s="247" t="inlineStr">
        <is>
          <t>車禍當時有無向警方報案？警方有無到場處理？對方是否有留在現場或逃逸？現場是否有移動？有無拍照或標繪？</t>
        </is>
      </c>
      <c r="C6" s="247" t="inlineStr">
        <is>
          <t>你還記得傷害你的那個男子的特徵、外貌？</t>
        </is>
      </c>
      <c r="D6" s="247" t="inlineStr">
        <is>
          <t>該竊嫌有無使用交通工具？使用交通工具後，往何處逃逸？</t>
        </is>
      </c>
      <c r="E6" s="247" t="inlineStr">
        <is>
          <t>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
雨傘置放於自家店外傘架上，該物仍在其支配管領範圍內，而遭不明人士取走，應受理竊盜罪(列為第一案類)為宜。</t>
        </is>
      </c>
      <c r="F6" s="247" t="inlineStr">
        <is>
          <t>妳是否認識上述毀損妳物品的犯嫌？有無糾紛或仇恨？</t>
        </is>
      </c>
      <c r="G6" s="247" t="inlineStr">
        <is>
          <t>你為何會幫同崴股份有限公司進行交易？同崴股份有限公司的詳細資料是？你與同崴股份有限公司共進行過幾次交易？</t>
        </is>
      </c>
      <c r="H6" s="247" t="inlineStr">
        <is>
          <t>他是否有對你使用強制力（強暴手段）做出妨害名譽的行為？</t>
        </is>
      </c>
      <c r="I6" s="247" t="inlineStr">
        <is>
          <t>對方對你恐嚇之言語或行為，是否使你心生畏懼、感到害怕？為何會使你心生畏懼？</t>
        </is>
      </c>
      <c r="J6" s="247" t="inlineStr">
        <is>
          <t>車禍當時有無向警方報案？警方有無到場處理？對方是否有留在現場或逃逸？現場是否有移動？有無拍照或標繪？</t>
        </is>
      </c>
      <c r="K6" s="247" t="inlineStr">
        <is>
          <t>你與相對人○○○是何種關係？相對人○○○於何時、何地對你實施家庭暴力？你是否有申請保護令？</t>
        </is>
      </c>
      <c r="L6" s="33" t="inlineStr">
        <is>
          <t>案發當時有無撥打110報案或至派出所報案？</t>
        </is>
      </c>
      <c r="M6" s="33" t="inlineStr">
        <is>
          <t>你與對方是否認識？雙方有無仇恨、糾紛或金錢借貸關係？</t>
        </is>
      </c>
      <c r="N6" s="33" t="inlineStr">
        <is>
          <t>行為人是否有以電話、簡訊、電子郵件、社群軟體或其他電子設備對你進行干擾？具體內容為何？</t>
        </is>
      </c>
      <c r="O6" s="33" t="inlineStr">
        <is>
          <t>對方指控與事實不符之處為何？你可否具體說明。</t>
        </is>
      </c>
      <c r="P6" s="33" t="n"/>
      <c r="Q6" s="33" t="n"/>
      <c r="R6" s="33" t="n"/>
      <c r="S6" s="33" t="n"/>
      <c r="T6" s="33" t="n"/>
      <c r="U6" s="33" t="n"/>
      <c r="V6" s="33" t="n"/>
      <c r="W6" s="33" t="n"/>
      <c r="X6" s="33" t="n"/>
      <c r="Y6" s="33" t="n"/>
      <c r="Z6" s="33" t="n"/>
      <c r="AA6" s="33" t="n"/>
      <c r="AB6" s="33" t="n"/>
      <c r="AC6" s="33" t="n"/>
      <c r="AD6" s="33" t="n"/>
    </row>
    <row r="7" ht="30" customHeight="1" s="683">
      <c r="A7" s="239" t="inlineStr">
        <is>
          <t>你是否知悉依刑訴法第237條告訴期為六個月？是否曾經提告此案過？或是否曾經撤回告訴過？</t>
        </is>
      </c>
      <c r="B7" s="247" t="inlineStr">
        <is>
          <t>車禍當時有無人員受傷？受傷情形為何？當時有沒有叫救護車？有無前往醫院就醫並開立診斷證明？</t>
        </is>
      </c>
      <c r="C7" s="247" t="inlineStr">
        <is>
          <t>對方動手之前，你們發生了什麼事？是誰先動手的？</t>
        </is>
      </c>
      <c r="D7" s="601" t="inlineStr">
        <is>
          <t>依北市警刑偵字第1133115422號所分，按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雨傘置放於自家店外傘架上，該物仍在其支配管領範圍內，而遭不明人士取走，應受理竊盜罪(列為第一案類)為宜。請問你是否清楚？要提告何告訴？</t>
        </is>
      </c>
      <c r="E7" s="247" t="inlineStr">
        <is>
          <t>你是基於什麼原因把東西交給對方的？有沒有寫借據或約定歸還時間？</t>
        </is>
      </c>
      <c r="F7" s="247" t="inlineStr">
        <is>
          <t>你的東西是在哪裡被弄壞的？發現的時候是什麼樣子？</t>
        </is>
      </c>
      <c r="G7" s="247" t="inlineStr">
        <is>
          <t>你與你的海峽國際私人有限公司共使用電子郵件進行了幾次交易？</t>
        </is>
      </c>
      <c r="H7" s="247" t="inlineStr">
        <is>
          <t>請問他是否故意去散播會損害你的名譽的評價真偽具體事件或事實，而不只是單純的辱罵而已？使用何種方式(敘述、文字、圖像)？其內容為何？</t>
        </is>
      </c>
      <c r="I7" s="247" t="inlineStr">
        <is>
          <t>你與對方是否認識？雙方有無仇恨、嫌隙或金錢糾紛？對方為何要恐嚇你？</t>
        </is>
      </c>
      <c r="J7" s="247" t="inlineStr">
        <is>
          <t>車禍當時有無人員受傷？受傷情形為何？當時有沒有叫救護車？有無前往醫院就醫並開立診斷證明？</t>
        </is>
      </c>
      <c r="K7" s="247" t="inlineStr">
        <is>
          <t>你是否向法院聲請保護令？保護令之文號、核發日期及主文內容為何？</t>
        </is>
      </c>
      <c r="L7" s="33" t="inlineStr">
        <is>
          <t>你與對方是否認識？雙方有無仇恨、糾紛或金錢借貸關係？</t>
        </is>
      </c>
      <c r="M7" s="33" t="inlineStr">
        <is>
          <t>遭冒用的文書內容為何？（例如：契約、證件申請、報稅、貸款等）</t>
        </is>
      </c>
      <c r="N7" s="33" t="inlineStr">
        <is>
          <t>行為人是否有對你為警告、威脅、嘲弄、辱罵、歧視或不當追求之言語、行動？</t>
        </is>
      </c>
      <c r="O7" s="33" t="inlineStr">
        <is>
          <t>你與對方為何種關係？雙方有無發生過嫌隙、糾紛或金錢債務關係？</t>
        </is>
      </c>
      <c r="P7" s="33" t="n"/>
      <c r="Q7" s="33" t="n"/>
      <c r="R7" s="33" t="n"/>
      <c r="S7" s="33" t="n"/>
      <c r="T7" s="33" t="n"/>
      <c r="U7" s="33" t="n"/>
      <c r="V7" s="33" t="n"/>
      <c r="W7" s="33" t="n"/>
      <c r="X7" s="33" t="n"/>
      <c r="Y7" s="33" t="n"/>
      <c r="Z7" s="33" t="n"/>
      <c r="AA7" s="33" t="n"/>
      <c r="AB7" s="33" t="n"/>
      <c r="AC7" s="33" t="n"/>
      <c r="AD7" s="33" t="n"/>
    </row>
    <row r="8" ht="46.5" customHeight="1" s="683">
      <c r="A8" s="237" t="inlineStr">
        <is>
          <t>你是否要提出告訴？提出何種告訴？是否曾向其他警察單位報案（有無開立證明單或未獲受理緣由過程）？是否附帶民事求償？有無與嫌犯和解或調解之意願？</t>
        </is>
      </c>
      <c r="B8" s="247" t="inlineStr">
        <is>
          <t>有無開立交通事故登記聯單？有無核發交通事故初步分析研判表？肇事原因為何？有無申請鑑定？</t>
        </is>
      </c>
      <c r="C8" s="247" t="inlineStr">
        <is>
          <t>對方手上有沒有拿東西？打到你身體哪些地方？</t>
        </is>
      </c>
      <c r="D8" s="247" t="inlineStr">
        <is>
          <t>東西不見之前放在哪裡？你當時人在不在旁邊？</t>
        </is>
      </c>
      <c r="E8" s="247" t="inlineStr">
        <is>
          <t>對方後來把東西拿去做了什麼用？你是什麼時候發現的？</t>
        </is>
      </c>
      <c r="F8" s="247" t="inlineStr">
        <is>
          <t>東西壞掉之後還能不能用？修好大概要花多少錢？</t>
        </is>
      </c>
      <c r="G8" s="247" t="inlineStr">
        <is>
          <t>你公司的電子郵件遭冒用的帳號是？</t>
        </is>
      </c>
      <c r="H8" s="247" t="inlineStr">
        <is>
          <t>他所使你損害名譽是否出於自衛、自辯或保護合法之利益或可受公評之事，而為適當之評論？</t>
        </is>
      </c>
      <c r="I8" s="247" t="inlineStr">
        <is>
          <t>對方除上開恐嚇行為外，有無其他恐嚇行為或財物損失？</t>
        </is>
      </c>
      <c r="J8" s="247" t="inlineStr">
        <is>
          <t>有無開立交通事故登記聯單？有無核發交通事故初步分析研判表？肇事原因為何？有無申請鑑定？</t>
        </is>
      </c>
      <c r="K8" s="247" t="inlineStr">
        <is>
          <t>相對人何時、何地違反保護令？相對人違反保護令之行為態樣為何？</t>
        </is>
      </c>
      <c r="L8" s="33" t="inlineStr">
        <is>
          <t>對方有無使用工具或攜帶武器？現場有無其他人在場目睹？</t>
        </is>
      </c>
      <c r="M8" s="33" t="inlineStr">
        <is>
          <t>經警方提示相關文書供你辨識，其上簽名是否非你本人所簽？</t>
        </is>
      </c>
      <c r="N8" s="33" t="inlineStr">
        <is>
          <t>你與行為人是否認識？雙方關係為何？有無感情糾紛或金錢糾紛？</t>
        </is>
      </c>
      <c r="O8" s="33" t="inlineStr">
        <is>
          <t>你是否可提供與對方之通訊紀錄、證人或相關文件供警方偵辦？</t>
        </is>
      </c>
      <c r="P8" s="33" t="n"/>
      <c r="Q8" s="33" t="n"/>
      <c r="R8" s="33" t="n"/>
      <c r="S8" s="33" t="n"/>
      <c r="T8" s="33" t="n"/>
      <c r="U8" s="33" t="n"/>
      <c r="V8" s="33" t="n"/>
      <c r="W8" s="33" t="n"/>
      <c r="X8" s="33" t="n"/>
      <c r="Y8" s="33" t="n"/>
      <c r="Z8" s="33" t="n"/>
      <c r="AA8" s="33" t="n"/>
      <c r="AB8" s="33" t="n"/>
      <c r="AC8" s="33" t="n"/>
      <c r="AD8" s="33" t="n"/>
    </row>
    <row r="9" ht="30" customHeight="1" s="683">
      <c r="A9" s="239" t="inlineStr">
        <is>
          <t>你是否知悉依刑事訴訟法第 238 條 告訴乃論之罪，告訴人於第一審辯論終結前，得撤回其告訴。撤回告訴之人，不得再為同一件事提出告訴？</t>
        </is>
      </c>
      <c r="B9" s="247" t="inlineStr">
        <is>
          <t>你車禍發生時有無服用酒類或其他含有酒精成分之飲品或食品？有無實施酒精濃度測試？</t>
        </is>
      </c>
      <c r="C9" s="247" t="inlineStr">
        <is>
          <t>你受傷後有沒有去醫院？有沒有開診斷證明？</t>
        </is>
      </c>
      <c r="D9" s="247" t="inlineStr">
        <is>
          <t>你離開了多久？有沒有把東西借給對方或請人保管？</t>
        </is>
      </c>
      <c r="E9" s="247" t="inlineStr">
        <is>
          <t>你有沒有跟對方要回來？對方怎麼說？</t>
        </is>
      </c>
      <c r="F9" s="247" t="inlineStr">
        <is>
          <t>你覺得是誰弄的？你跟對方之前有沒有吵架或糾紛？</t>
        </is>
      </c>
      <c r="G9" s="247" t="inlineStr">
        <is>
          <t>你是否清楚共有幾人，接收到假冒你公司的名義所發出之電子郵件詐騙訊息？相關資料為何？</t>
        </is>
      </c>
      <c r="H9" s="247" t="inlineStr">
        <is>
          <t>他所使你損害名譽是否能證明其為真實？</t>
        </is>
      </c>
      <c r="I9" s="247" t="inlineStr">
        <is>
          <t>你是否要對該恐嚇之人提出告訴？欲提出何種告訴？</t>
        </is>
      </c>
      <c r="J9" s="247" t="inlineStr">
        <is>
          <t>你車禍發生時有無服用酒類或其他含有酒精成分之飲品或食品？有無實施酒精濃度測試？</t>
        </is>
      </c>
      <c r="K9" s="247" t="inlineStr">
        <is>
          <t>相對人違反保護令之行為是否造成你身體或精神上之傷害？有無驗傷或就醫紀錄？</t>
        </is>
      </c>
      <c r="L9" s="33" t="inlineStr">
        <is>
          <t>經警方提供監視器（行車紀錄器）畫面，畫面中之行為人是否為對方？</t>
        </is>
      </c>
      <c r="M9" s="33" t="inlineStr">
        <is>
          <t>對方有無因此獲得利益或使你受有損害？</t>
        </is>
      </c>
      <c r="N9" s="33" t="inlineStr">
        <is>
          <t>對方之行為是否違反你的意願且令你心生畏怖？是否足以影響你的日常生活或社會活動？</t>
        </is>
      </c>
      <c r="O9" s="33" t="inlineStr">
        <is>
          <t>此次遭對方誣告有無造成你名譽、財產或精神上之損失？</t>
        </is>
      </c>
      <c r="P9" s="33" t="n"/>
      <c r="Q9" s="33" t="n"/>
      <c r="R9" s="33" t="n"/>
      <c r="S9" s="33" t="n"/>
      <c r="T9" s="33" t="n"/>
      <c r="U9" s="33" t="n"/>
      <c r="V9" s="33" t="n"/>
      <c r="W9" s="33" t="n"/>
      <c r="X9" s="33" t="n"/>
      <c r="Y9" s="33" t="n"/>
      <c r="Z9" s="33" t="n"/>
      <c r="AA9" s="33" t="n"/>
      <c r="AB9" s="33" t="n"/>
      <c r="AC9" s="33" t="n"/>
      <c r="AD9" s="33" t="n"/>
    </row>
    <row r="10" ht="30" customHeight="1" s="683">
      <c r="A10" s="239" t="inlineStr">
        <is>
          <t>如警方通知涉嫌人後，你是否同意與對方和解？</t>
        </is>
      </c>
      <c r="B10" s="247" t="inlineStr">
        <is>
          <t>你當下行駛過程中是否有在車上使用行動電話或其他足以造成行車安全之行為?對方是否有使用？</t>
        </is>
      </c>
      <c r="C10" s="247" t="inlineStr">
        <is>
          <t>對方做了哪些動作？</t>
        </is>
      </c>
      <c r="D10" s="247" t="inlineStr">
        <is>
          <t>發現不見之後，你第一個懷疑的人是誰？為什麼？</t>
        </is>
      </c>
      <c r="E10" s="247" t="inlineStr">
        <is>
          <t>對方最初如何取得或保管該物品？</t>
        </is>
      </c>
      <c r="F10" s="247" t="inlineStr">
        <is>
          <t>請說明遭損壞的物品及損壞前後差異。</t>
        </is>
      </c>
      <c r="G10" s="247" t="inlineStr">
        <is>
          <t>你公司的電子郵件，使用平台為何？有無裝設防毒軟體？你公司是否有資管相關設備？</t>
        </is>
      </c>
      <c r="H10" s="247" t="inlineStr">
        <is>
          <t>你是否要請求依民法第18條或民法第184、195條的損害賠償或回復名譽？</t>
        </is>
      </c>
      <c r="I10" s="247" t="inlineStr">
        <is>
          <t>對方當時跟你說了什麼或做了什麼，讓你覺得害怕？還記得原話嗎？</t>
        </is>
      </c>
      <c r="J10" s="247" t="inlineStr">
        <is>
          <t>你當下行駛過程中是否有在車上使用行動電話或其他足以造成行車安全之行為?對方是否有使用？</t>
        </is>
      </c>
      <c r="K10" s="247" t="inlineStr">
        <is>
          <t>相對人違反保護令當時有無其他人目睹？有無證據（監視器、錄音、簡訊、對話紀錄）可提供警方？</t>
        </is>
      </c>
      <c r="L10" s="33" t="inlineStr">
        <is>
          <t>當下你有無受傷？有無驗傷證明或其他事證？</t>
        </is>
      </c>
      <c r="M10" s="33" t="inlineStr">
        <is>
          <t>你是否可提供相關證據或與對方之聯絡紀錄供警方偵辦？</t>
        </is>
      </c>
      <c r="N10" s="33" t="inlineStr">
        <is>
          <t>你是否曾向行為人表達不滿、抗議或拒絕？有無蒐證或報警紀錄？</t>
        </is>
      </c>
      <c r="O10" s="33" t="inlineStr">
        <is>
          <t>你是否願意配合臺北地檢署轉介調解業務？</t>
        </is>
      </c>
      <c r="P10" s="33" t="n"/>
      <c r="Q10" s="33" t="n"/>
      <c r="R10" s="33" t="n"/>
      <c r="S10" s="33" t="n"/>
      <c r="T10" s="33" t="n"/>
      <c r="U10" s="33" t="n"/>
      <c r="V10" s="33" t="n"/>
      <c r="W10" s="33" t="n"/>
      <c r="X10" s="33" t="n"/>
      <c r="Y10" s="33" t="n"/>
      <c r="Z10" s="33" t="n"/>
      <c r="AA10" s="33" t="n"/>
      <c r="AB10" s="33" t="n"/>
      <c r="AC10" s="33" t="n"/>
      <c r="AD10" s="33" t="n"/>
    </row>
    <row r="11" ht="27" customHeight="1" s="683">
      <c r="A11" s="239" t="inlineStr">
        <is>
          <t>你是否需要鑑識小隊採證？</t>
        </is>
      </c>
      <c r="B11" s="240" t="inlineStr">
        <is>
          <t>你是否有裝設行車紀錄器?是否知悉對方有無裝設?你是否清楚案發地有無監視器的設置?</t>
        </is>
      </c>
      <c r="C11" s="247" t="inlineStr">
        <is>
          <t>你身體哪些部位不舒服或受傷？</t>
        </is>
      </c>
      <c r="D11" s="247" t="inlineStr">
        <is>
          <t>你的土地在哪裡？你多久去看一次？</t>
        </is>
      </c>
      <c r="E11" s="247" t="inlineStr">
        <is>
          <t>你何時以何種方式要求返還物品？</t>
        </is>
      </c>
      <c r="F11" s="247" t="inlineStr">
        <is>
          <t>你看見或得知物品以何種方式受損？</t>
        </is>
      </c>
      <c r="G11" s="247" t="inlineStr">
        <is>
          <t>你公司的電子郵件帳號是否有借予他人使用過？是否有其他人知道你公司的電子郵件帳號及密碼？</t>
        </is>
      </c>
      <c r="H11" s="247" t="inlineStr">
        <is>
          <t>對方是在哪裡講那些話的？當時有幾個人聽到或看到？</t>
        </is>
      </c>
      <c r="I11" s="247" t="inlineStr">
        <is>
          <t>對方是用說的、打電話的，還是傳訊息的？有沒有留紀錄？</t>
        </is>
      </c>
      <c r="J11" s="240" t="inlineStr">
        <is>
          <t>你是否有裝設行車紀錄器?是否知悉對方有無裝設?你是否清楚案發地有無監視器的設置?</t>
        </is>
      </c>
      <c r="K11" s="247" t="inlineStr">
        <is>
          <t>相對人是否知悉保護令之內容及效力？你是否已將保護令送達或告知相對人？</t>
        </is>
      </c>
      <c r="L11" s="33" t="inlineStr">
        <is>
          <t>你是否要對該嫌疑人提出告訴？提出何種告訴？</t>
        </is>
      </c>
      <c r="M11" s="33" t="inlineStr">
        <is>
          <t>你是否要向對方提出告訴？</t>
        </is>
      </c>
      <c r="N11" s="33" t="inlineStr">
        <is>
          <t>你是否要向對方提出跟蹤騷擾罪告訴？是否需轉介社福單位？</t>
        </is>
      </c>
      <c r="O11" s="33" t="inlineStr">
        <is>
          <t>對方去告你的事情，你是什麼時候知道的？警察有沒有找你去說明？</t>
        </is>
      </c>
      <c r="P11" s="33" t="n"/>
      <c r="Q11" s="33" t="n"/>
      <c r="R11" s="33" t="n"/>
      <c r="S11" s="33" t="n"/>
      <c r="T11" s="33" t="n"/>
      <c r="U11" s="33" t="n"/>
      <c r="V11" s="33" t="n"/>
      <c r="W11" s="33" t="n"/>
      <c r="X11" s="33" t="n"/>
      <c r="Y11" s="33" t="n"/>
      <c r="Z11" s="33" t="n"/>
      <c r="AA11" s="33" t="n"/>
      <c r="AB11" s="33" t="n"/>
      <c r="AC11" s="33" t="n"/>
      <c r="AD11" s="33" t="n"/>
    </row>
    <row r="12" ht="30" customHeight="1" s="683">
      <c r="A12" s="48" t="inlineStr">
        <is>
          <t>案件後續司法文書有無指定收件之處所？是否能提供聲請變更送達處所狀？</t>
        </is>
      </c>
      <c r="B12" s="247" t="inlineStr">
        <is>
          <t>事後你與對方有無商談相關賠償事宜?是否有達成和解？</t>
        </is>
      </c>
      <c r="C12" s="244" t="inlineStr">
        <is>
          <t>身體不適或傷勢是在什麼時候出現的？</t>
        </is>
      </c>
      <c r="D12" s="244" t="inlineStr">
        <is>
          <t>你是什麼時候發現有人在上面蓋東西或鋪水泥的？</t>
        </is>
      </c>
      <c r="E12" s="244" t="inlineStr">
        <is>
          <t>你知道對方後來如何處理該物品嗎？</t>
        </is>
      </c>
      <c r="F12" s="244" t="inlineStr">
        <is>
          <t>該物品目前是否仍可正常使用？</t>
        </is>
      </c>
      <c r="G12" s="244" t="inlineStr">
        <is>
          <t>你是否清楚是何人冒用你的名義？你是否清楚犯嫌是如何得知你與你的客戶使用電子郵件進行交易的？你是否清楚犯嫌是如何得知你公司的電子郵件帳戶的？你都在何處使用電腦上網並使用電子郵件的？</t>
        </is>
      </c>
      <c r="H12" s="244" t="inlineStr">
        <is>
          <t>對方有沒有提到你具體做過哪一件事？那件事是真的嗎？</t>
        </is>
      </c>
      <c r="I12" s="244" t="inlineStr">
        <is>
          <t>你後來有沒有照對方說的去做？是自願的還是因為害怕？</t>
        </is>
      </c>
      <c r="J12" s="247" t="inlineStr">
        <is>
          <t>事後你與對方有無商談相關賠償事宜?是否有達成和解？</t>
        </is>
      </c>
      <c r="K12" s="244" t="inlineStr">
        <is>
          <t>相對人除本案外，有無其他違反保護令或家庭暴力之前案紀錄？</t>
        </is>
      </c>
      <c r="L12" s="782" t="inlineStr">
        <is>
          <t>當時對方有幾個人？你能不能自己離開？有沒有人擋住你？</t>
        </is>
      </c>
      <c r="M12" s="782" t="inlineStr">
        <is>
          <t>你是什麼時候發現有人用你的名字簽文件或辦事情的？</t>
        </is>
      </c>
      <c r="N12" s="782" t="inlineStr">
        <is>
          <t>對方這樣的行為發生過幾次？持續多久了？</t>
        </is>
      </c>
      <c r="O12" s="782" t="inlineStr">
        <is>
          <t>對方告的內容裡面，哪些部分跟事實不一樣？你有證據可以證明嗎？</t>
        </is>
      </c>
    </row>
    <row r="13" ht="30" customHeight="1" s="683">
      <c r="A13" s="601" t="inlineStr">
        <is>
          <t>你是否確定要撤回告訴？為何你要撤回告訴？請詳述原因。撤回告訴狀與和解書是否由你親自填寫？是否能提供給警方？</t>
        </is>
      </c>
      <c r="B13" s="48" t="inlineStr">
        <is>
          <t>你有無向調解委員會聲請調解程序？調解情形為何？</t>
        </is>
      </c>
      <c r="C13" s="48" t="n"/>
      <c r="D13" s="48" t="inlineStr">
        <is>
          <t>對方有沒有跟你商量過？你們之前認不認識？</t>
        </is>
      </c>
      <c r="E13" s="48" t="n"/>
      <c r="F13" s="48" t="n"/>
      <c r="G13" s="48" t="inlineStr">
        <is>
          <t>該犯嫌共假冒你公司的電子郵件帳號幾次？於何時開始假冒你公司的名義？ 到目前為止，是否有因為你公司的電子郵件帳戶遭犯嫌冒用， 而發生任何財物損失？</t>
        </is>
      </c>
      <c r="H13" s="48" t="inlineStr">
        <is>
          <t>這些話傳出去之後，對你的生活或工作有沒有影響？</t>
        </is>
      </c>
      <c r="I13" s="48" t="inlineStr">
        <is>
          <t>對方說了什麼或做了什麼？</t>
        </is>
      </c>
      <c r="J13" s="48" t="inlineStr">
        <is>
          <t>你有無向調解委員會聲請調解程序？調解情形為何？</t>
        </is>
      </c>
      <c r="K13" s="48" t="inlineStr">
        <is>
          <t>你目前居住處所是否安全？是否需警方協助戒護或轉介社福單位？</t>
        </is>
      </c>
      <c r="L13" s="782" t="inlineStr">
        <is>
          <t>對方有沒有要你做什麼事？你是自願的還是被逼的？</t>
        </is>
      </c>
      <c r="M13" s="782" t="inlineStr">
        <is>
          <t>你的證件或印章有沒有不見或借給別人過？</t>
        </is>
      </c>
      <c r="N13" s="782" t="inlineStr">
        <is>
          <t>對方都用什麼方式找你？跟蹤、打電話、傳訊息，還是到你家或公司堵你？</t>
        </is>
      </c>
      <c r="O13" s="782" t="inlineStr">
        <is>
          <t>你跟對方之前有什麼糾紛？他為什麼要這樣告你？</t>
        </is>
      </c>
    </row>
    <row r="14" ht="30" customHeight="1" s="683">
      <c r="A14" s="601">
        <f>CONCATENATE("你於",LEFT(下拉用!$J$4,10),"第一次警詢筆錄的陳述是否實在？")</f>
        <v/>
      </c>
      <c r="B14" s="48" t="inlineStr">
        <is>
          <t>你能提供何種資料(事故聯單、初判表、車鑑表、驗傷單)供警方後續偵辦使用?</t>
        </is>
      </c>
      <c r="C14" s="48" t="n"/>
      <c r="D14" s="48" t="inlineStr">
        <is>
          <t>案發前，該物品由誰保管或使用？</t>
        </is>
      </c>
      <c r="E14" s="48" t="n"/>
      <c r="F14" s="48" t="n"/>
      <c r="G14" s="48" t="inlineStr">
        <is>
          <t>針對本案，你是否有向交易的對象表示，你的電子郵件遭不明犯嫌冒用？</t>
        </is>
      </c>
      <c r="H14" s="48" t="inlineStr">
        <is>
          <t>對方有沒有提到你具體做過什麼事？那些是真的嗎？</t>
        </is>
      </c>
      <c r="I14" s="48" t="inlineStr">
        <is>
          <t>當時你所在的位置及可離開的情況為何？</t>
        </is>
      </c>
      <c r="J14" s="48" t="inlineStr">
        <is>
          <t>你能提供何種資料(事故聯單、初判表、車鑑表、驗傷單)供警方後續偵辦使用?</t>
        </is>
      </c>
      <c r="K14" s="48" t="inlineStr">
        <is>
          <t>你是否要向對方提出違反保護令罪告訴？</t>
        </is>
      </c>
      <c r="L14" s="782" t="inlineStr">
        <is>
          <t>這整件事持續了多久？你後來是怎麼離開的？</t>
        </is>
      </c>
      <c r="M14" s="782" t="inlineStr">
        <is>
          <t>那份文件上面的簽名是你寫的嗎？你有答應讓對方用你的名義嗎？</t>
        </is>
      </c>
      <c r="N14" s="782" t="inlineStr">
        <is>
          <t>這些行為有沒有影響你的日常生活？你有沒有請對方不要再來？</t>
        </is>
      </c>
    </row>
    <row r="15" ht="30" customHeight="1" s="683">
      <c r="A15" s="601">
        <f>CONCATENATE("警方於",LEFT(下拉用!$J$5,10),"在約談涉嫌人來所說明案情,筆錄期間涉嫌人主動交付贓證物,是否為妳遭",輸入!$C$2,"之物品？是否由你領回？贓物認領保管單是否為妳本人確認無誤後親自簽名？")</f>
        <v/>
      </c>
      <c r="B15" s="782" t="inlineStr">
        <is>
          <t>車禍發生的時間和地點在哪裡？你當時是開車、騎車還是走路？</t>
        </is>
      </c>
      <c r="D15" s="782" t="inlineStr">
        <is>
          <t>你如何發現物品被取走？</t>
        </is>
      </c>
      <c r="G15" s="782" t="inlineStr">
        <is>
          <t>你的手機或帳號是什麼時候發現被動過的？有沒有收到奇怪的簡訊或通知？</t>
        </is>
      </c>
      <c r="H15" s="782" t="inlineStr">
        <is>
          <t>這些話對你的生活或工作有沒有影響？</t>
        </is>
      </c>
      <c r="I15" s="782" t="inlineStr">
        <is>
          <t>這些言語或行為對你的決定或行動造成什麼影響？</t>
        </is>
      </c>
      <c r="J15" s="782" t="inlineStr">
        <is>
          <t>當時的天氣和視線怎麼樣？路上有沒有號誌或標線？</t>
        </is>
      </c>
      <c r="K15" s="48" t="inlineStr">
        <is>
          <t>法院的保護令有沒有限制對方不能靠近你或跟你聯絡？對方知不知道？</t>
        </is>
      </c>
      <c r="L15" s="782" t="inlineStr">
        <is>
          <t>事發當時，對方穿著制服或配戴證件嗎？你看得到嗎？</t>
        </is>
      </c>
      <c r="M15" s="782" t="inlineStr">
        <is>
          <t>請說明涉及的文件及文件記載內容。</t>
        </is>
      </c>
    </row>
    <row r="16" ht="30" customHeight="1" s="683">
      <c r="A16" s="601">
        <f>CONCATENATE("警方於發現贓證物，是否為妳遭",輸入!$C$2,"之物品？是否由你領回？贓物認領保管單是否為妳本人確認無誤後親自簽名？")</f>
        <v/>
      </c>
      <c r="B16" s="782" t="inlineStr">
        <is>
          <t>撞到之前，你有沒有看到對方的車？對方有沒有煞車或閃避？</t>
        </is>
      </c>
      <c r="D16" s="782" t="inlineStr">
        <is>
          <t>你是否曾同意任何人取走或使用該物品？</t>
        </is>
      </c>
      <c r="G16" s="782" t="inlineStr">
        <is>
          <t>你的密碼有沒有告訴過對方？對方是怎麼知道的？</t>
        </is>
      </c>
      <c r="H16" s="782" t="inlineStr">
        <is>
          <t>請完整說明或提供對方表達的內容。</t>
        </is>
      </c>
      <c r="J16" s="782" t="inlineStr">
        <is>
          <t>車禍發生後有沒有報警？警察有沒有到場？對方有留在現場嗎？</t>
        </is>
      </c>
      <c r="K16" s="782" t="inlineStr">
        <is>
          <t>對方這次是做了什麼違反規定的事？時間地點在哪裡？</t>
        </is>
      </c>
      <c r="L16" s="782" t="inlineStr">
        <is>
          <t>對方當時是在做什麼工作？有沒有跟你說明？</t>
        </is>
      </c>
      <c r="M16" s="782" t="inlineStr">
        <is>
          <t>文件上的簽名、印章或名義是否由你授權？</t>
        </is>
      </c>
    </row>
    <row r="17" ht="16.5" customHeight="1" s="683">
      <c r="B17" s="782" t="inlineStr">
        <is>
          <t>你受傷之後有沒有去醫院？傷在哪裡，有沒有開診斷證明？</t>
        </is>
      </c>
      <c r="D17" s="782" t="inlineStr">
        <is>
          <t>物品被取走後，有哪些使用或處分情形是你知道的？</t>
        </is>
      </c>
      <c r="G17" s="782" t="inlineStr">
        <is>
          <t>被動用之後，有沒有錢被轉走或東西被刪掉？損失多少？</t>
        </is>
      </c>
      <c r="H17" s="782" t="inlineStr">
        <is>
          <t>有哪些人可能聽見、看見或收到該內容？</t>
        </is>
      </c>
      <c r="J17" s="782" t="inlineStr">
        <is>
          <t>事後對方有沒有跟你談賠償？有沒有和解或調解？</t>
        </is>
      </c>
      <c r="K17" s="782" t="inlineStr">
        <is>
          <t>事情發生之後，你有沒有報警或告訴社工？</t>
        </is>
      </c>
      <c r="L17" s="782" t="inlineStr">
        <is>
          <t>你在那裡工作多久了？老闆每個月給你多少錢？</t>
        </is>
      </c>
      <c r="M17" s="782" t="inlineStr">
        <is>
          <t>該文件後來被提供或使用在什麼地方？</t>
        </is>
      </c>
    </row>
    <row r="18" ht="30" customHeight="1" s="683">
      <c r="A18" s="601" t="n"/>
      <c r="B18" s="782" t="inlineStr">
        <is>
          <t>對方做了哪些動作？</t>
        </is>
      </c>
      <c r="G18" s="782" t="inlineStr">
        <is>
          <t>涉及哪一個系統、設備或帳號？</t>
        </is>
      </c>
      <c r="H18" s="782" t="inlineStr">
        <is>
          <t>你知道對方表達該內容所依據的資料嗎？</t>
        </is>
      </c>
      <c r="J18" s="782" t="inlineStr">
        <is>
          <t>車禍發生的時間和地點在哪裡？你當時是開車、騎車還是走路？</t>
        </is>
      </c>
      <c r="L18" s="782" t="inlineStr">
        <is>
          <t>你想離開的時候，老闆有沒有不讓你走？證件在誰手上？</t>
        </is>
      </c>
    </row>
    <row r="19" ht="30" customHeight="1" s="683">
      <c r="A19" s="601" t="n"/>
      <c r="B19" s="782" t="inlineStr">
        <is>
          <t>你身體哪些部位不舒服或受傷？</t>
        </is>
      </c>
      <c r="G19" s="782" t="inlineStr">
        <is>
          <t>請說明獲准使用的人員及其授權範圍。</t>
        </is>
      </c>
      <c r="J19" s="782" t="inlineStr">
        <is>
          <t>撞到之前，你有沒有看到對方的車？對方有沒有煞車或閃避？</t>
        </is>
      </c>
    </row>
    <row r="20" ht="30" customHeight="1" s="683">
      <c r="A20" s="601">
        <f>CONCATENATE("因為警方通知我在",LEFT(下拉用!$J$9,10),"至所報",呈報單!$G$15,"案，證明單號為",輸入!$C$13,"，有循線通知嫌疑人到案說明，所以今日請我至貴派出所製作第二次筆錄以及領回贓證物。")</f>
        <v/>
      </c>
      <c r="B20" s="782" t="inlineStr">
        <is>
          <t>身體不適或傷勢是在什麼時候出現的？</t>
        </is>
      </c>
      <c r="G20" s="782" t="inlineStr">
        <is>
          <t>你發現哪些資料被取得、變更、刪除或影響？</t>
        </is>
      </c>
      <c r="J20" s="782" t="inlineStr">
        <is>
          <t>你受傷之後有沒有去醫院？傷在哪裡，有沒有開診斷證明？</t>
        </is>
      </c>
    </row>
    <row r="21" ht="30" customHeight="1" s="683">
      <c r="A21" s="601" t="n"/>
      <c r="J21" s="782" t="inlineStr">
        <is>
          <t>對方做了哪些動作？</t>
        </is>
      </c>
    </row>
    <row r="22">
      <c r="J22" s="782" t="inlineStr">
        <is>
          <t>你身體哪些部位不舒服或受傷？</t>
        </is>
      </c>
    </row>
    <row r="23">
      <c r="J23" s="782" t="inlineStr">
        <is>
          <t>身體不適或傷勢是在什麼時候出現的？</t>
        </is>
      </c>
    </row>
    <row r="24"/>
    <row r="25"/>
    <row r="26"/>
    <row r="27" ht="30" customHeight="1" s="683">
      <c r="K27" s="399" t="n"/>
    </row>
    <row r="28" ht="148.5" customHeight="1" s="683">
      <c r="B28" s="33" t="n"/>
      <c r="C28" s="33" t="n"/>
      <c r="D28" s="33" t="n"/>
      <c r="E28" s="33" t="n"/>
      <c r="F28" s="33" t="n"/>
      <c r="G28" s="33" t="n"/>
      <c r="H28" s="33" t="n"/>
      <c r="I28" s="33" t="n"/>
      <c r="K28" s="33" t="n"/>
      <c r="L28" s="33" t="n"/>
      <c r="M28" s="33" t="n"/>
      <c r="N28" s="33" t="n"/>
      <c r="O28" s="33" t="n"/>
      <c r="P28" s="33" t="n"/>
      <c r="Q28" s="33" t="n"/>
      <c r="R28" s="33" t="n"/>
      <c r="S28" s="33" t="n"/>
      <c r="T28" s="33" t="n"/>
      <c r="U28" s="33" t="n"/>
      <c r="V28" s="33" t="n"/>
      <c r="W28" s="33" t="n"/>
      <c r="X28" s="33" t="n"/>
      <c r="Y28" s="33" t="n"/>
      <c r="Z28" s="33" t="n"/>
      <c r="AA28" s="33" t="n"/>
      <c r="AB28" s="33" t="n"/>
      <c r="AC28" s="33" t="n"/>
      <c r="AD28" s="33" t="n"/>
    </row>
    <row r="29" ht="148.5" customHeight="1" s="683">
      <c r="B29" s="33" t="n"/>
      <c r="C29" s="33" t="n"/>
      <c r="D29" s="33" t="n"/>
      <c r="E29" s="33" t="n"/>
      <c r="F29" s="33" t="n"/>
      <c r="G29" s="33" t="n"/>
      <c r="H29" s="33" t="n"/>
      <c r="I29" s="33" t="n"/>
      <c r="K29" s="33" t="n"/>
      <c r="L29" s="33" t="n"/>
      <c r="M29" s="33" t="n"/>
      <c r="N29" s="33" t="n"/>
      <c r="O29" s="33" t="n"/>
      <c r="P29" s="33" t="n"/>
      <c r="Q29" s="33" t="n"/>
      <c r="R29" s="33" t="n"/>
      <c r="S29" s="33" t="n"/>
      <c r="T29" s="33" t="n"/>
      <c r="U29" s="33" t="n"/>
      <c r="V29" s="33" t="n"/>
      <c r="W29" s="33" t="n"/>
      <c r="X29" s="33" t="n"/>
      <c r="Y29" s="33" t="n"/>
      <c r="Z29" s="33" t="n"/>
      <c r="AA29" s="33" t="n"/>
      <c r="AB29" s="33" t="n"/>
      <c r="AC29" s="33" t="n"/>
      <c r="AD29" s="33" t="n"/>
    </row>
    <row r="30" ht="132" customHeight="1" s="683">
      <c r="B30" s="33" t="n"/>
      <c r="C30" s="33" t="n"/>
      <c r="D30" s="33" t="n"/>
      <c r="E30" s="33" t="n"/>
      <c r="F30" s="33" t="n"/>
      <c r="G30" s="33" t="n"/>
      <c r="H30" s="33" t="n"/>
      <c r="I30" s="33" t="n"/>
      <c r="K30" s="33" t="n"/>
      <c r="L30" s="33" t="n"/>
      <c r="M30" s="33" t="n"/>
      <c r="N30" s="33" t="n"/>
      <c r="O30" s="33" t="n"/>
      <c r="P30" s="33" t="n"/>
      <c r="Q30" s="33" t="n"/>
      <c r="R30" s="33" t="n"/>
      <c r="S30" s="33" t="n"/>
      <c r="T30" s="33" t="n"/>
      <c r="U30" s="33" t="n"/>
      <c r="V30" s="33" t="n"/>
      <c r="W30" s="33" t="n"/>
      <c r="X30" s="33" t="n"/>
      <c r="Y30" s="33" t="n"/>
      <c r="Z30" s="33" t="n"/>
      <c r="AA30" s="33" t="n"/>
      <c r="AB30" s="33" t="n"/>
      <c r="AC30" s="33" t="n"/>
      <c r="AD30" s="33" t="n"/>
    </row>
    <row r="31" ht="99" customHeight="1" s="683">
      <c r="J31" s="33" t="n"/>
    </row>
    <row r="32" ht="115.5" customHeight="1" s="683">
      <c r="J32" s="33" t="n"/>
    </row>
    <row r="33" ht="99" customHeight="1" s="683">
      <c r="J33" s="33" t="n"/>
    </row>
    <row r="34" ht="148.5" customHeight="1" s="683">
      <c r="A34" s="33" t="inlineStr">
        <is>
          <t>案發當時你人在哪裡？是一個人還是跟別人在一起？</t>
        </is>
      </c>
      <c r="B34" s="33" t="n"/>
      <c r="C34" s="33" t="n"/>
      <c r="D34" s="33" t="n"/>
      <c r="E34" s="33" t="n"/>
      <c r="F34" s="33" t="n"/>
      <c r="G34" s="33" t="n"/>
      <c r="H34" s="33" t="n"/>
      <c r="I34" s="33" t="n"/>
      <c r="J34" s="33" t="n"/>
      <c r="K34" s="33" t="n"/>
      <c r="L34" s="33" t="n"/>
      <c r="M34" s="33" t="n"/>
      <c r="N34" s="33" t="n"/>
      <c r="O34" s="33" t="n"/>
      <c r="P34" s="33" t="n"/>
      <c r="Q34" s="33" t="n"/>
      <c r="R34" s="33" t="n"/>
      <c r="S34" s="33" t="n"/>
      <c r="T34" s="33" t="n"/>
      <c r="U34" s="33" t="n"/>
      <c r="V34" s="33" t="n"/>
      <c r="W34" s="33" t="n"/>
      <c r="X34" s="33" t="n"/>
      <c r="Y34" s="33" t="n"/>
      <c r="Z34" s="33" t="n"/>
      <c r="AA34" s="33" t="n"/>
      <c r="AB34" s="33" t="n"/>
      <c r="AC34" s="33" t="n"/>
      <c r="AD34" s="33" t="n"/>
    </row>
    <row r="35" ht="148.5" customHeight="1" s="683">
      <c r="A35" s="33" t="inlineStr">
        <is>
          <t>事情發生後，你第一個聯絡的人是誰？有馬上報警嗎？</t>
        </is>
      </c>
      <c r="B35" s="33" t="n"/>
      <c r="C35" s="33" t="n"/>
      <c r="D35" s="33" t="n"/>
      <c r="E35" s="33" t="n"/>
      <c r="F35" s="33" t="n"/>
      <c r="G35" s="33" t="n"/>
      <c r="H35" s="33" t="n"/>
      <c r="I35" s="33" t="n"/>
      <c r="J35" s="33" t="n"/>
      <c r="K35" s="33" t="n"/>
      <c r="L35" s="33" t="n"/>
      <c r="M35" s="33" t="n"/>
      <c r="N35" s="33" t="n"/>
      <c r="O35" s="33" t="n"/>
      <c r="P35" s="33" t="n"/>
      <c r="Q35" s="33" t="n"/>
      <c r="R35" s="33" t="n"/>
      <c r="S35" s="33" t="n"/>
      <c r="T35" s="33" t="n"/>
      <c r="U35" s="33" t="n"/>
      <c r="V35" s="33" t="n"/>
      <c r="W35" s="33" t="n"/>
      <c r="X35" s="33" t="n"/>
      <c r="Y35" s="33" t="n"/>
      <c r="Z35" s="33" t="n"/>
      <c r="AA35" s="33" t="n"/>
      <c r="AB35" s="33" t="n"/>
      <c r="AC35" s="33" t="n"/>
      <c r="AD35" s="33" t="n"/>
    </row>
    <row r="36" ht="132" customHeight="1" s="683">
      <c r="A36" s="33" t="inlineStr">
        <is>
          <t>你的損失大概多少？有沒有單據可以證明？</t>
        </is>
      </c>
      <c r="B36" s="33" t="n"/>
      <c r="C36" s="33" t="n"/>
      <c r="D36" s="33" t="n"/>
      <c r="E36" s="33" t="n"/>
      <c r="F36" s="33" t="n"/>
      <c r="G36" s="33" t="n"/>
      <c r="H36" s="33" t="n"/>
      <c r="I36" s="33" t="n"/>
      <c r="J36" s="33" t="n"/>
      <c r="K36" s="33" t="n"/>
      <c r="L36" s="33" t="n"/>
      <c r="M36" s="33" t="n"/>
      <c r="N36" s="33" t="n"/>
      <c r="O36" s="33" t="n"/>
      <c r="P36" s="33" t="n"/>
      <c r="Q36" s="33" t="n"/>
      <c r="R36" s="33" t="n"/>
      <c r="S36" s="33" t="n"/>
      <c r="T36" s="33" t="n"/>
      <c r="U36" s="33" t="n"/>
      <c r="V36" s="33" t="n"/>
      <c r="W36" s="33" t="n"/>
      <c r="X36" s="33" t="n"/>
      <c r="Y36" s="33" t="n"/>
      <c r="Z36" s="33" t="n"/>
      <c r="AA36" s="33" t="n"/>
      <c r="AB36" s="33" t="n"/>
      <c r="AC36" s="33" t="n"/>
      <c r="AD36" s="33" t="n"/>
    </row>
    <row r="37" ht="82.5" customHeight="1" s="683">
      <c r="D37" s="33" t="n"/>
      <c r="L37" s="33" t="n"/>
    </row>
    <row r="38" ht="99" customHeight="1" s="683">
      <c r="D38" s="33" t="n"/>
      <c r="L38" s="33" t="n"/>
    </row>
    <row r="39" ht="115.5" customHeight="1" s="683">
      <c r="D39" s="33" t="n"/>
      <c r="L39" s="33" t="n"/>
    </row>
  </sheetData>
  <pageMargins left="0.7" right="0.7" top="0.75" bottom="0.75" header="0.3" footer="0.3"/>
</worksheet>
</file>

<file path=xl/worksheets/sheet48.xml><?xml version="1.0" encoding="utf-8"?>
<worksheet xmlns="http://schemas.openxmlformats.org/spreadsheetml/2006/main">
  <sheetPr codeName="工作表51">
    <outlinePr summaryBelow="1" summaryRight="1"/>
    <pageSetUpPr/>
  </sheetPr>
  <dimension ref="A1:AD62"/>
  <sheetViews>
    <sheetView workbookViewId="0">
      <selection activeCell="D2" sqref="D2"/>
    </sheetView>
  </sheetViews>
  <sheetFormatPr baseColWidth="8" defaultRowHeight="20.1" customHeight="1"/>
  <cols>
    <col width="18.625" customWidth="1" style="683" min="1" max="1"/>
    <col width="17.875" customWidth="1" style="593" min="4" max="4"/>
    <col width="11.625" customWidth="1" style="683" min="10" max="10"/>
    <col width="15.875" customWidth="1" style="593" min="11" max="11"/>
    <col width="10.375" customWidth="1" style="683" min="12" max="12"/>
    <col width="8.75" customWidth="1" style="683" min="13" max="13"/>
    <col width="9.25" customWidth="1" style="683" min="14" max="14"/>
    <col width="10.75" customWidth="1" style="683" min="16" max="16"/>
    <col width="55" customWidth="1" style="683" min="24" max="30"/>
  </cols>
  <sheetData>
    <row r="1" ht="20.1" customHeight="1" s="683">
      <c r="A1" s="324" t="inlineStr">
        <is>
          <t>涉嫌人通用</t>
        </is>
      </c>
      <c r="B1" s="325" t="inlineStr">
        <is>
          <t>過失傷害</t>
        </is>
      </c>
      <c r="C1" s="325" t="inlineStr">
        <is>
          <t>傷害</t>
        </is>
      </c>
      <c r="D1" s="325" t="inlineStr">
        <is>
          <t>竊盜</t>
        </is>
      </c>
      <c r="E1" s="325" t="inlineStr">
        <is>
          <t>侵占</t>
        </is>
      </c>
      <c r="F1" s="325" t="inlineStr">
        <is>
          <t>毀損</t>
        </is>
      </c>
      <c r="G1" s="325" t="inlineStr">
        <is>
          <t>妨害電腦使用</t>
        </is>
      </c>
      <c r="H1" s="325" t="inlineStr">
        <is>
          <t>妨害名譽</t>
        </is>
      </c>
      <c r="I1" s="325" t="inlineStr">
        <is>
          <t>恐嚇</t>
        </is>
      </c>
      <c r="J1" s="325" t="inlineStr">
        <is>
          <t>撤回告訴</t>
        </is>
      </c>
      <c r="K1" s="913" t="inlineStr">
        <is>
          <t>性騷擾防治法</t>
        </is>
      </c>
      <c r="L1" s="248" t="inlineStr">
        <is>
          <t>公共危險</t>
        </is>
      </c>
      <c r="M1" s="248" t="inlineStr">
        <is>
          <t>通緝</t>
        </is>
      </c>
      <c r="N1" s="248" t="inlineStr">
        <is>
          <t>毒品危害防制條例</t>
        </is>
      </c>
      <c r="O1" s="252" t="inlineStr">
        <is>
          <t>逃逸外勞</t>
        </is>
      </c>
      <c r="P1" s="248" t="inlineStr">
        <is>
          <t>妨害秩序</t>
        </is>
      </c>
      <c r="Q1" s="782" t="inlineStr">
        <is>
          <t>妨害自由</t>
        </is>
      </c>
      <c r="R1" s="782" t="inlineStr">
        <is>
          <t>偽造文書</t>
        </is>
      </c>
      <c r="S1" s="782" t="inlineStr">
        <is>
          <t>跟蹤騷擾</t>
        </is>
      </c>
      <c r="T1" s="782" t="inlineStr">
        <is>
          <t>誣告</t>
        </is>
      </c>
      <c r="U1" s="782" t="inlineStr">
        <is>
          <t>違反保護令</t>
        </is>
      </c>
      <c r="V1" s="782" t="inlineStr">
        <is>
          <t>詐欺</t>
        </is>
      </c>
      <c r="W1" s="782" t="inlineStr">
        <is>
          <t>性騷擾</t>
        </is>
      </c>
      <c r="X1" s="573" t="inlineStr">
        <is>
          <t>AI_妨害性自主</t>
        </is>
      </c>
      <c r="Y1" s="573" t="inlineStr">
        <is>
          <t>AI_兒少性剝削</t>
        </is>
      </c>
      <c r="Z1" s="573" t="inlineStr">
        <is>
          <t>AI_圖利賄賂</t>
        </is>
      </c>
      <c r="AA1" s="573" t="inlineStr">
        <is>
          <t>AI_少年事件</t>
        </is>
      </c>
      <c r="AB1" s="573" t="inlineStr">
        <is>
          <t>AI_賭博</t>
        </is>
      </c>
      <c r="AC1" s="573" t="inlineStr">
        <is>
          <t>AI_公然猥褻</t>
        </is>
      </c>
      <c r="AD1" s="573" t="inlineStr">
        <is>
          <t>AI_槍砲</t>
        </is>
      </c>
    </row>
    <row r="2" ht="40.5" customHeight="1" s="683">
      <c r="A2" s="239" t="inlineStr">
        <is>
          <t>警方所告知之罪名及權利你是否清楚?你有無刑案紀錄？</t>
        </is>
      </c>
      <c r="B2" s="246"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C2" s="246" t="inlineStr">
        <is>
          <t>你於何時、何地如何遭人傷害？因何事與對方起爭執？他為何要傷害你？請詳述案發經過。</t>
        </is>
      </c>
      <c r="D2" s="601">
        <f>CONCATENATE("經警方提供你觀看監視器，於",輸入!$C$5,"，拿取該物品是否為你本人？")</f>
        <v/>
      </c>
      <c r="E2" s="782" t="inlineStr">
        <is>
          <t>警方有無告知你的應告知事項及罪名？你有無前述具有原住民、低收入戶或心智障礙等身分？有無需要請親友或辯護人到場？</t>
        </is>
      </c>
      <c r="F2" s="782" t="inlineStr">
        <is>
          <t>上記年籍資料是否正確？是否有刑案紀錄？你現在精神狀況是否清楚？</t>
        </is>
      </c>
      <c r="G2" s="782" t="inlineStr">
        <is>
          <t>上記年籍資料是否正確？是否有刑案紀錄？你現在精神狀況是否清楚？</t>
        </is>
      </c>
      <c r="H2" s="782" t="inlineStr">
        <is>
          <t>上記年籍資料是否正確？是否有刑案紀錄？你現在精神狀況是否清楚？</t>
        </is>
      </c>
      <c r="I2" s="782" t="inlineStr">
        <is>
          <t>上記年籍資料是否正確？是否有刑案紀錄？你現在精神狀況是否清楚？</t>
        </is>
      </c>
      <c r="J2" s="246">
        <f>CONCATENATE("你於",LEFT(下拉用!$J$9,10),"所報",輸入!$C$2,"(案號：",輸入!C13,")並第一次警詢筆錄所陳述是否實在?")</f>
        <v/>
      </c>
      <c r="K2" s="593" t="inlineStr">
        <is>
          <t>警方告知今(  )日因處理「代號：○○○」○○○年○○月○○日所提性騷擾申訴事件通知你到場製作詢問紀錄，是否清楚?</t>
        </is>
      </c>
      <c r="L2" s="250">
        <f>CONCATENATE("本所警方於",下拉用!$J$10,"許巡經",輸入!$C$7,"時，發現",word用!$Z$2,"(",word用!$AA$2,")",輸入!$H$3,"，遂攔停",word用!$Z$2,"(",word用!$AA$2,")，攔停過程時發現駕駛人",word用!$H$2,"身上有濃厚之酒味，詢問駕駛人",word用!$H$2,"坦承有飲酒，經你同意實施酒精測試，且由你本人親自吹試之酒精濃度值酒測值為",word用!$AD$2,"MG/L，是否屬實? 你對於該結果有無任何疑義？")</f>
        <v/>
      </c>
      <c r="M2" s="250">
        <f>CONCATENATE("本所警員於勤務中，於",下拉用!$J$5,"許巡經",輸入!$C$7,"時，發現該",word用!$R$2,"子行跡可疑，上前盤查，發現為",輸入!$H$6,"，通緝日期：",LEFT(下拉用!$J$6,10),"，所發布之通緝犯，姓名：",word用!$H$2,"（",word用!$R$2,"性、",word用!$L$2,"、",UPPER(word用!$I$2),")，通緝文號：",word用!$AD$2,"，通緝案號：",word用!$AE$2,"；案由：",word用!$E$2,"，是否為你本人？")</f>
        <v/>
      </c>
      <c r="N2" s="249" t="inlineStr">
        <is>
          <t>你是否為未滿12歲兒童之父母、監護人或其他實際照顧兒童之人？</t>
        </is>
      </c>
      <c r="O2" s="253" t="inlineStr">
        <is>
          <t>你是何時、何地逃逸？因何事逃逸？</t>
        </is>
      </c>
      <c r="P2" s="782" t="inlineStr">
        <is>
          <t>上記年籍資料是否正確？是否有刑案紀錄？你現在精神狀況是否清楚？</t>
        </is>
      </c>
      <c r="Q2" s="782" t="inlineStr">
        <is>
          <t>上記年籍資料是否正確？是否有刑案紀錄？你現在精神狀況是否清楚？</t>
        </is>
      </c>
      <c r="R2" s="782" t="inlineStr">
        <is>
          <t>上記年籍資料是否正確？是否有刑案紀錄？現在精神狀況是否清楚？</t>
        </is>
      </c>
      <c r="S2" s="782" t="inlineStr">
        <is>
          <t>上記年籍資料是否正確？是否有刑案紀錄？現在精神狀況是否清楚？</t>
        </is>
      </c>
      <c r="T2" s="782" t="inlineStr">
        <is>
          <t>上記年籍資料是否正確？是否有刑案紀錄？現在精神狀況是否清楚？</t>
        </is>
      </c>
      <c r="U2" s="782" t="inlineStr">
        <is>
          <t>上記年籍資料是否正確？是否有刑案紀錄？現在精神狀況是否清楚？</t>
        </is>
      </c>
      <c r="V2" s="782" t="inlineStr">
        <is>
          <t>意圖使公務員登載不實或誣告他人將負刑事責任，你是否清楚？</t>
        </is>
      </c>
      <c r="W2" s="782" t="inlineStr">
        <is>
          <t>真實姓名對照表內之資料是否正確？是否為你本人？</t>
        </is>
      </c>
      <c r="X2" s="782" t="inlineStr">
        <is>
          <t>對方對你所為之行為，是否涉及性器進入身體？</t>
        </is>
      </c>
      <c r="Y2" s="782" t="inlineStr">
        <is>
          <t>照片或影片裡的孩子大約幾歲？是怎麼認識對方的？</t>
        </is>
      </c>
      <c r="Z2" s="782" t="inlineStr">
        <is>
          <t>你收受財物時是否具有公務員身分及相關職務權限？</t>
        </is>
      </c>
      <c r="AA2" s="782" t="inlineStr">
        <is>
          <t>行為人行為時是否滿18歲？</t>
        </is>
      </c>
      <c r="AB2" s="782">
        <f>CONCATENATE("你們玩牌或玩遊戲的地方",輸入!$C$7,"？是自己家裡、店面，還是路邊、公園這種誰都可以走進來的地方？")</f>
        <v/>
      </c>
      <c r="AC2" s="782">
        <f>CONCATENATE("事情發生的地點",輸入!$C$7,"？當時旁邊有沒有不認識的人會看到或聽到，大概有幾個？")</f>
        <v/>
      </c>
      <c r="AD2" s="782">
        <f>CONCATENATE("你帶的這把槍是什麼槍？",輸入!$C$7,"買的？買的時候店家有沒有說需不需要證照？")</f>
        <v/>
      </c>
    </row>
    <row r="3" ht="18.75" customHeight="1" s="683">
      <c r="A3" s="239" t="inlineStr">
        <is>
          <t>你是否具有低收入戶、中低收入戶、原住民或其他依法令得請求法律扶助者的身分？妳是否需要通知親屬、法扶或委任律師陪同到場？</t>
        </is>
      </c>
      <c r="B3" s="36" t="inlineStr">
        <is>
          <t>當時的天氣如何?視野如何視線是否有遭遮蔽?標誌標線是否清楚？</t>
        </is>
      </c>
      <c r="C3" s="245" t="inlineStr">
        <is>
          <t>你有無打（反擊）該名？是否有造成對方受傷？</t>
        </is>
      </c>
      <c r="D3" s="593" t="inlineStr">
        <is>
          <t>你為何要拿取該物品？</t>
        </is>
      </c>
      <c r="E3" s="782" t="inlineStr">
        <is>
          <t>現因警力不足，你是否同意警方一人為你製作筆錄？</t>
        </is>
      </c>
      <c r="F3" s="782" t="inlineStr">
        <is>
          <t>上述警方所告知涉嫌罪名及得行使之權利，你是否清楚？你是否具有身心障礙、低收入戶、中低收入戶及原住民等身分？是否需要請辯護人及親友到場陪同製作筆錄？</t>
        </is>
      </c>
      <c r="G3" s="782" t="inlineStr">
        <is>
          <t>警方所告知涉嫌罪名及得行使之權利，你是否清楚？你是否具有身心障礙、低收入戶、中低收入戶及原住民等身分？是否需要請辯護人及親友到場陪同製作筆錄？</t>
        </is>
      </c>
      <c r="H3" s="782" t="inlineStr">
        <is>
          <t>警方告知你涉嫌妨害名譽罪名及得行使之三項權利，你是否清楚？你是否具有身心障礙、低收入戶、中低收入戶及原住民等身分？是否需要請辯護人及親友到場陪同製作筆錄？</t>
        </is>
      </c>
      <c r="I3" s="782" t="inlineStr">
        <is>
          <t>警方告知你涉嫌恐嚇罪名及得行使之三項權利，你是否清楚？你是否具有身心障礙、低收入戶、中低收入戶及原住民等身分？是否需要請辯護人及親友到場陪同製作筆錄？</t>
        </is>
      </c>
      <c r="J3" s="245">
        <f>CONCATENATE("警方於",下拉用!$J$10,"在約談涉嫌人來所說明案情,筆錄期間涉嫌人主動交付贓證物,是否為妳遭",輸入!$C$2,"之物品？")</f>
        <v/>
      </c>
      <c r="K3" s="593" t="inlineStr">
        <is>
          <t>你現在精神狀況如何？是否可以製作詢問紀錄?</t>
        </is>
      </c>
      <c r="L3" s="601">
        <f>CONCATENATE("警方是否有在對你實施酒測酒精測試前，是否有提供呼氣酒精測試檢定合格證書（檢定合格單號碼：",word用!$AK$2,"、酒測器編號：",word用!$AL$2,"）供你檢視？之後對你告知拒測的相關事項？是否有讓你簽名？")</f>
        <v/>
      </c>
      <c r="M3" s="250" t="inlineStr">
        <is>
          <t>你目前居於何處？是否有收到法院或地方檢察署通知傳票？為何未出庭？</t>
        </is>
      </c>
      <c r="N3" s="250" t="inlineStr">
        <is>
          <t>未滿12歲之兒童現在是否有人照顧？未滿12歲兒童之現居地？由何人照顧？照顧人聯絡資料？是否有獲得適當之照顧？</t>
        </is>
      </c>
      <c r="O3" s="254" t="inlineStr">
        <is>
          <t>你逃逸期間有無打工？在何處打工？居住何處？</t>
        </is>
      </c>
      <c r="P3" s="782" t="inlineStr">
        <is>
          <t>警方告知你涉嫌妨害秩序罪名及得行使之三項權利，你是否清楚？你是否具有身心障礙、低收入戶、中低收入戶及原住民等身分？是否需要請辯護人及親友到場陪同製作筆錄？</t>
        </is>
      </c>
      <c r="Q3" s="782" t="inlineStr">
        <is>
          <t>警方告知你涉嫌妨害自由罪名及得行使之三項權利，你是否清楚？你是否具有低收入戶、中低收入戶及原住民等身分？是否需要請辯護人到場陪同製作筆錄？</t>
        </is>
      </c>
      <c r="R3" s="782" t="inlineStr">
        <is>
          <t>警方告知你涉嫌偽造文書、使公務員登載不實罪名及得行使之三項權利，你是否清楚？是否需要請辯護人到場？</t>
        </is>
      </c>
      <c r="S3" s="782" t="inlineStr">
        <is>
          <t>警方告知你涉嫌違反跟蹤騷擾防制法罪名及得行使之三項權利，你是否清楚？是否需要請辯護人到場？</t>
        </is>
      </c>
      <c r="T3" s="782" t="inlineStr">
        <is>
          <t>警方告知你涉嫌誣告罪名及得行使之三項權利，你是否清楚？是否需要請辯護人到場？</t>
        </is>
      </c>
      <c r="U3" s="782" t="inlineStr">
        <is>
          <t>警方告知你涉嫌違反保護令罪及得行使之三項權利，你是否清楚？是否需要請辯護人到場？</t>
        </is>
      </c>
      <c r="V3" s="782" t="inlineStr">
        <is>
          <t>你(29)日因何事至本所製作詢問筆錄？</t>
        </is>
      </c>
      <c r="W3" s="782" t="inlineStr">
        <is>
          <t>警方告知今(24)日因處理「〈代號〉-〈代號〉」115年03月23日所提性騷擾申訴及告訴事件通知你到場製作調查筆錄，是否清楚？</t>
        </is>
      </c>
      <c r="X3" s="782" t="inlineStr">
        <is>
          <t>若無性器進入，行為是否屬足以興奮或滿足性慾之身體接觸？</t>
        </is>
      </c>
      <c r="Y3" s="782" t="inlineStr">
        <is>
          <t>拍攝的時候，孩子知不知道有人在拍？有沒有人用打罵、威脅或騙的方式叫孩子配合？</t>
        </is>
      </c>
      <c r="Z3" s="782" t="inlineStr">
        <is>
          <t>對方交付財物是否冀求你為特定職務行為？</t>
        </is>
      </c>
      <c r="AA3" s="782" t="inlineStr">
        <is>
          <t>行為是否已觸犯刑罰法律，抑或僅有曝險之虞？</t>
        </is>
      </c>
      <c r="AB3" s="782" t="inlineStr">
        <is>
          <t>當天玩的是什麼？一局輸贏大概多少錢？這些錢對你們來說是零用錢等級，還是很大的數目？</t>
        </is>
      </c>
      <c r="AC3" s="782" t="inlineStr">
        <is>
          <t>你當時具體做了什麼動作？衣服有沒有穿好？持續了多久？</t>
        </is>
      </c>
      <c r="AD3" s="782" t="inlineStr">
        <is>
          <t>這把槍有沒有拿去鑑定？鑑定結果能不能打穿東西？</t>
        </is>
      </c>
    </row>
    <row r="4" ht="18.75" customHeight="1" s="683">
      <c r="A4" s="239" t="inlineStr">
        <is>
          <t>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t>
        </is>
      </c>
      <c r="B4" s="36" t="inlineStr">
        <is>
          <t>發生擦撞之撞擊部位為何？車輀受損狀況？是否有估價單？</t>
        </is>
      </c>
      <c r="C4" s="245" t="inlineStr">
        <is>
          <t>用何種器具傷害你身體何處？使你何處受傷，傷勢如何？在哪家醫院診斷？是否能提出診斷證明書？</t>
        </is>
      </c>
      <c r="D4" s="593" t="inlineStr">
        <is>
          <t>你拿取該物品時，有無結帳？</t>
        </is>
      </c>
      <c r="E4" s="782" t="inlineStr">
        <is>
          <t>上開年籍資料是否為你本人？是否正確？</t>
        </is>
      </c>
      <c r="F4" s="782" t="inlineStr">
        <is>
          <t>現因警力不足，是否同意由警方一人為你製作筆錄？</t>
        </is>
      </c>
      <c r="G4" s="782" t="inlineStr">
        <is>
          <t>現因警力不足，是否同意由警方一人為你製作筆錄？</t>
        </is>
      </c>
      <c r="H4" s="782" t="inlineStr">
        <is>
          <t>現因警力不足，是否同意由警方一人為你製作筆錄？</t>
        </is>
      </c>
      <c r="I4" s="782" t="inlineStr">
        <is>
          <t>現因警力不足，是否同意由警方一人為你製作筆錄？</t>
        </is>
      </c>
      <c r="J4" s="244">
        <f>CONCATENATE("警方於",下拉用!$J$10,"在",輸入!$H$13,"發現贓證物，是否為妳遭竊之物品？")</f>
        <v/>
      </c>
      <c r="K4" s="593" t="inlineStr">
        <is>
          <t>你現在任職單位為何?職稱(位)為何？任現職多久？工作內容為何?薪資由何人支應? （釐清性平三法之適用，並請詳加調查行為人所屬單位或是否為最高負責人）</t>
        </is>
      </c>
      <c r="L4" s="250" t="inlineStr">
        <is>
          <t>你飲酒結束時間為何？且至警方將你攔停時間是否已經超過15分鐘以上？警方於現場施測前有無提供礦泉水讓你漱口或飲用？</t>
        </is>
      </c>
      <c r="M4" s="250" t="inlineStr">
        <is>
          <t>通緝期間你目前經濟來源為何？有無他人幫你藏匿，及再犯其他刑案？</t>
        </is>
      </c>
      <c r="N4" s="249" t="inlineStr">
        <is>
          <t>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t>
        </is>
      </c>
      <c r="O4" s="254" t="inlineStr">
        <is>
          <t>你逃逸期間經濟來源為何？</t>
        </is>
      </c>
      <c r="P4" s="782" t="inlineStr">
        <is>
          <t>現因警力不足，是否同意由警方一人為你製作筆錄？</t>
        </is>
      </c>
      <c r="Q4" s="782" t="inlineStr">
        <is>
          <t>現因警力不足，是否同意由警方一人為你製作筆錄？</t>
        </is>
      </c>
      <c r="R4" s="782" t="inlineStr">
        <is>
          <t>你是否為低收入戶、中低收入戶、原住民身分？是否領有身心障礙證明手冊？</t>
        </is>
      </c>
      <c r="S4" s="782" t="inlineStr">
        <is>
          <t>你是否為低收入戶、中低收入戶、原住民身分？是否領有身心障礙證明？現因警力不足，是否同意由警方一人為你製作筆錄？</t>
        </is>
      </c>
      <c r="T4" s="782" t="inlineStr">
        <is>
          <t>你是否為低收入戶、中低收入戶、原住民身分？是否領有身心障礙證明？現因警力不足，是否同意由警方一人為你製作筆錄？</t>
        </is>
      </c>
      <c r="U4" s="782" t="inlineStr">
        <is>
          <t>你是否為低收入戶、中低收入戶、原住民身分？是否領有身心障礙證明？現因警力不足，是否同意由警方一人為你製作筆錄？</t>
        </is>
      </c>
      <c r="V4" s="782" t="inlineStr">
        <is>
          <t>你取得該財物時，原持有人是否因為你的言語、行為或 devices而 believed 你已付款或有權取得，並由此主動將物品交給你？</t>
        </is>
      </c>
      <c r="W4" s="782" t="inlineStr">
        <is>
          <t>你今（6/19）因何事前來派出所製作調查筆錄？</t>
        </is>
      </c>
      <c r="X4" s="782" t="inlineStr">
        <is>
          <t>你能否具體描述行為之態樣、部位及過程？</t>
        </is>
      </c>
      <c r="Y4" s="782" t="inlineStr">
        <is>
          <t>這些照片影片後來有沒有傳給別人、放到網路上，或拿去賣錢？</t>
        </is>
      </c>
      <c r="Z4" s="782" t="inlineStr">
        <is>
          <t>你是否明示或默許允為對方所冀求之職務行為？</t>
        </is>
      </c>
      <c r="AA4" s="782" t="inlineStr">
        <is>
          <t>案件是否經少年法院先議權調查處理？</t>
        </is>
      </c>
      <c r="AB4" s="782" t="inlineStr">
        <is>
          <t>現場有沒有人向贏的人抽錢、收場地費，或有人專門發牌、記帳？</t>
        </is>
      </c>
      <c r="AC4" s="782" t="inlineStr">
        <is>
          <t>在場的人看到之後有什麼反應？有沒有人罵你、報警或帶小孩離開？</t>
        </is>
      </c>
      <c r="AD4" s="782" t="inlineStr">
        <is>
          <t>你帶著它出門是要做什麼？當時有沒有拿出來把玩或擊發？</t>
        </is>
      </c>
    </row>
    <row r="5" ht="18.75" customHeight="1" s="683">
      <c r="A5" s="239">
        <f>CONCATENATE("現在時間",LEFT(下拉用!$J$5,10),"時分許，依刑事訴訟法為夜間偵訊時間，你是否同意接受製作夜間警詢筆錄？目前精神狀況是否良好？意識是否清醒？")</f>
        <v/>
      </c>
      <c r="B5" s="245" t="inlineStr">
        <is>
          <t>當時為何人駕駛？車號車種為何？你車上共乘幾人？對方駕駛為何人？車號車種為何？對方車上共乘幾人？</t>
        </is>
      </c>
      <c r="C5" s="245" t="inlineStr">
        <is>
          <t>有無其他物品遭毀損？</t>
        </is>
      </c>
      <c r="D5" s="593">
        <f>CONCATENATE("該物品目前現於何處？",$A$13)</f>
        <v/>
      </c>
      <c r="E5" s="782" t="inlineStr">
        <is>
          <t>你今日因何事至派出所製作筆錄？</t>
        </is>
      </c>
      <c r="F5" s="782" t="inlineStr">
        <is>
          <t>依刑法第57條規定，犯案後之態度將作為檢察官及法官日後審案量刑之依據，你是否清楚？是否願意向警方據實陳述？</t>
        </is>
      </c>
      <c r="G5" s="782" t="inlineStr">
        <is>
          <t>你今日因何事至本所製作筆錄？</t>
        </is>
      </c>
      <c r="H5" s="782" t="inlineStr">
        <is>
          <t>你今日因何事至本所製作筆錄？</t>
        </is>
      </c>
      <c r="I5" s="782" t="inlineStr">
        <is>
          <t>你今日因何事至本所製作筆錄？</t>
        </is>
      </c>
      <c r="J5" s="245" t="inlineStr">
        <is>
          <t>贓物認領保管單是否為妳本人確認無誤後親自簽名?</t>
        </is>
      </c>
      <c r="K5" s="593" t="inlineStr">
        <is>
          <t>你於○○○年○○月○○日○○時○○分（被害人指述之時間）人在何處?發生何事?請詳述?</t>
        </is>
      </c>
      <c r="L5" s="601">
        <f>CONCATENATE("警方對你實施酒測酒精測定值",word用!$AD$2,"mg/l,酒測單案號",word用!$AM$2,"號、酒測器編號",word用!$AL$2,",是否為你本人親自簽名的？是否為你本人親自吹測無誤？")</f>
        <v/>
      </c>
      <c r="M5" s="250" t="inlineStr">
        <is>
          <t>你於發布通緝日之後，有無再犯其他案件？</t>
        </is>
      </c>
      <c r="N5" s="249" t="inlineStr">
        <is>
          <t>你是否知道如主動供出毒品之上游來源，使警方因而破獲者，依法可獲得減刑？</t>
        </is>
      </c>
      <c r="O5" s="254" t="inlineStr">
        <is>
          <t>你是逃逸外勞依法須遣送離台有無意見？</t>
        </is>
      </c>
      <c r="P5" s="782" t="inlineStr">
        <is>
          <t>你今日因何事至本所製作筆錄？</t>
        </is>
      </c>
      <c r="Q5" s="782" t="inlineStr">
        <is>
          <t>依刑法第57條規定，犯案後之態度將作為日後檢察官及法官量刑之依據，你是否清楚？是否願意向警方據實陳述？</t>
        </is>
      </c>
      <c r="R5" s="782" t="inlineStr">
        <is>
          <t>現因警力不足，是否同意由警方一人為你製作筆錄？</t>
        </is>
      </c>
      <c r="S5" s="782" t="inlineStr">
        <is>
          <t>依刑法第57條規定，犯案後之態度將作為日後檢察官及法官量刑之依據，你是否清楚？是否願意向警方據實陳述？</t>
        </is>
      </c>
      <c r="T5" s="782" t="inlineStr">
        <is>
          <t>依刑法第57條規定，犯案後之態度將作為日後檢察官及法官量刑之依據，你是否清楚？是否願意向警方據實陳述？</t>
        </is>
      </c>
      <c r="U5" s="782" t="inlineStr">
        <is>
          <t>依刑法第57條規定，犯案後之態度將作為日後檢察官及法官量刑之依據，你是否清楚？是否願意向警方據實陳述？</t>
        </is>
      </c>
      <c r="V5" s="782" t="inlineStr">
        <is>
          <t>原持有人在交付時是否知道也理解自己的願意、是否能自由拒絕？</t>
        </is>
      </c>
      <c r="W5" s="782" t="inlineStr">
        <is>
          <t>你現在精神狀況如何？是否可以製作詢問紀錄？</t>
        </is>
      </c>
      <c r="X5" s="782" t="inlineStr">
        <is>
          <t>行為是否涉及性器進入？</t>
        </is>
      </c>
      <c r="Y5" s="782" t="inlineStr">
        <is>
          <t>孩子當時有沒有表示願意被拍？如果不確定，是哪些部分記不清楚？</t>
        </is>
      </c>
      <c r="Z5" s="782" t="inlineStr">
        <is>
          <t>該財物僅為年節人情交誼，抑或與職務有對應關係？</t>
        </is>
      </c>
      <c r="AA5" s="782" t="inlineStr">
        <is>
          <t>以保護處分為適當，還是以刑事處分為適當？</t>
        </is>
      </c>
      <c r="AB5" s="782" t="inlineStr">
        <is>
          <t>你們這群人是偶爾聚一次玩好玩的，還是幾乎每天都聚在同一個地方玩？</t>
        </is>
      </c>
      <c r="AC5" s="782" t="inlineStr">
        <is>
          <t>那個地方平常人多不多？是白天還是深夜？</t>
        </is>
      </c>
      <c r="AD5" s="782" t="inlineStr">
        <is>
          <t>你知不知道這把槍跟真槍長得很像？一般人看得出來是假的嗎？</t>
        </is>
      </c>
    </row>
    <row r="6" ht="18.75" customHeight="1" s="683">
      <c r="A6" s="236">
        <f>CONCATENATE("現在時間",LEFT(下拉用!$J$5,10),"時分許，依刑事訴訟法為夜間偵訊時間，警方不得對你詢問製作筆錄，你是否知悉？")</f>
        <v/>
      </c>
      <c r="B6" s="245" t="inlineStr">
        <is>
          <t>車禍當時有無向警方報案？警方有無到場處理？對方是否有留在現場或逃逸？現場是否有移動？有無拍照或標繪？</t>
        </is>
      </c>
      <c r="C6" s="245" t="inlineStr">
        <is>
          <t>你還記得傷害你的那個男子的特徵、外貌？</t>
        </is>
      </c>
      <c r="D6" s="593" t="inlineStr">
        <is>
          <t>你拿取物品時有無使用工具？</t>
        </is>
      </c>
      <c r="E6" s="782" t="inlineStr">
        <is>
          <t>你於何時、何地、如何取得該物品？你取得該物品時，是否知悉該物品係他人所有？請詳述案發經過。</t>
        </is>
      </c>
      <c r="F6" s="782" t="inlineStr">
        <is>
          <t>你今日因何事至本所製作筆錄？</t>
        </is>
      </c>
      <c r="G6" s="782" t="inlineStr">
        <is>
          <t>你是否為該帳號之申請人或所有人？該帳號平時由何人使用？</t>
        </is>
      </c>
      <c r="H6" s="782" t="inlineStr">
        <is>
          <t>警方受理被害人報案稱你於何時、何地對渠發表何種言論或行為，你是否知悉此事？</t>
        </is>
      </c>
      <c r="I6" s="782" t="inlineStr">
        <is>
          <t>警方受理被害人報案稱你於何時、何地，以何種言語或行為使渠心生畏懼，你是否知悉此事？</t>
        </is>
      </c>
      <c r="J6" s="245" t="inlineStr">
        <is>
          <t>為何你要撤回告訴？請詳述原因。撤回告訴狀與和解書是否由你親自填寫？是否能提供給警方？</t>
        </is>
      </c>
      <c r="K6" s="593" t="inlineStr">
        <is>
          <t>被害人向警方指稱…（被害人對行為人之指訴內容），是否屬實?</t>
        </is>
      </c>
      <c r="L6" s="250">
        <f>CONCATENATE("因你觸犯刑法公共危險案，警方依法對你代保管車輛，",word用!$Z$2,"(",word用!$AA$2,")，該告發單 ",word用!$AN$2," 及移置車輛保管單號 ",word用!$AO$2," 是否都有交給你？")</f>
        <v/>
      </c>
      <c r="M6" s="249" t="n"/>
      <c r="N6" s="249" t="inlineStr">
        <is>
          <t>你於何時？何地？因何事為警方查獲？現場尚有何人？</t>
        </is>
      </c>
      <c r="O6" s="254" t="inlineStr">
        <is>
          <t>你目前身上有多少現金？你的護照目前在何處?</t>
        </is>
      </c>
      <c r="P6" s="782" t="inlineStr">
        <is>
          <t>警方受理被害人報案稱你於何時、何地，有無實施丟擲鞭炮、噴灑滅火器等足以妨害公共秩序之行為，你是否知悉此事？</t>
        </is>
      </c>
      <c r="Q6" s="782" t="inlineStr">
        <is>
          <t>你今日因何事至本所製作筆錄？</t>
        </is>
      </c>
      <c r="R6" s="782" t="inlineStr">
        <is>
          <t>依刑法第57條規定，犯案後之態度將作為日後檢察官及法官量刑之依據，你是否清楚？是否願意向警方據實陳述？</t>
        </is>
      </c>
      <c r="S6" s="782" t="inlineStr">
        <is>
          <t>你今日因何事至本所製作筆錄？</t>
        </is>
      </c>
      <c r="T6" s="782" t="inlineStr">
        <is>
          <t>你今日因何事至本所製作筆錄？</t>
        </is>
      </c>
      <c r="U6" s="782" t="inlineStr">
        <is>
          <t>你今日因何事至本所製作筆錄？</t>
        </is>
      </c>
      <c r="V6" s="782" t="inlineStr">
        <is>
          <t>你是否在取財後立刻離開而未讓原持有人事後有機會澄清？</t>
        </is>
      </c>
      <c r="W6" s="782" t="inlineStr">
        <is>
          <t>請詳述案發過程。</t>
        </is>
      </c>
      <c r="X6" s="782" t="inlineStr">
        <is>
          <t>行為之具體態樣為何，接觸之身體部位為何？</t>
        </is>
      </c>
      <c r="Y6" s="782" t="inlineStr">
        <is>
          <t>這些孩子大約幾歲？你是用什麼方式認識他們的，例如網路徵人或朋友介紹？</t>
        </is>
      </c>
      <c r="AD6" s="782" t="inlineStr">
        <is>
          <t>這把槍你是直接買現成的，還是買來之後自己有動手改裝過？</t>
        </is>
      </c>
    </row>
    <row r="7" ht="18.75" customHeight="1" s="683">
      <c r="A7" s="239">
        <f>CONCATENATE("妳今(",MID(輸入!$C$11,6,2),")日因何事接受警方製作筆錄？")</f>
        <v/>
      </c>
      <c r="B7" s="245" t="inlineStr">
        <is>
          <t>車禍當時有無人員受傷？受傷情形為何？當時有沒有叫救護車？有無前往醫院就醫並開立診斷證明？</t>
        </is>
      </c>
      <c r="C7" s="245" t="inlineStr">
        <is>
          <t>你下手攻擊時，是否有想過對方可能會死？</t>
        </is>
      </c>
      <c r="D7" s="593" t="inlineStr">
        <is>
          <t>你拿取物品後往何處離開？有無使用交通工具？</t>
        </is>
      </c>
      <c r="E7" s="782" t="inlineStr">
        <is>
          <t>據被害人指稱渠於案發當日掉落該物品，與你所稱拾取該物品之經過是否相符？</t>
        </is>
      </c>
      <c r="F7" s="782" t="inlineStr">
        <is>
          <t>警方受理被害人報案稱渠所有之物品於案發時、地遭人毀損，你是否知悉此事？</t>
        </is>
      </c>
      <c r="G7" s="782" t="inlineStr">
        <is>
          <t>你是否曾將該帳號、密碼提供或借予他人使用？或告知他人帳號密碼？</t>
        </is>
      </c>
      <c r="H7" s="782" t="inlineStr">
        <is>
          <t>你是否有於網路上或公開場所發表上開言論？請說明該言論之內容及散布管道。</t>
        </is>
      </c>
      <c r="I7" s="782" t="inlineStr">
        <is>
          <t>你是否曾對被害人說出上開言語或做出上開行為？請說明當時情形。</t>
        </is>
      </c>
      <c r="J7" s="245" t="inlineStr">
        <is>
          <t>依刑事訴訟法第 238 條 告訴乃論之罪，告訴人於第一審辯論終結前，得撤回其告訴。撤回告訴之人，不得再為同一件事提出告訴。你是否確定要撤回告訴？</t>
        </is>
      </c>
      <c r="K7" s="593" t="inlineStr">
        <is>
          <t>你是否為被害人所指稱之行為人?</t>
        </is>
      </c>
      <c r="L7" s="250" t="inlineStr">
        <is>
          <t>你於何時、何地與何人一同喝酒？是飲用何種酒？共喝多少？你於何時結束飲酒？飲酒後騎乘何駕駛工具？車號？該車主為何人？</t>
        </is>
      </c>
      <c r="M7" s="249" t="n"/>
      <c r="N7" s="249" t="inlineStr">
        <is>
          <t>你當場為警方查獲何物？係何人所有？有何用途？</t>
        </is>
      </c>
      <c r="O7" s="254" t="inlineStr">
        <is>
          <t>你是否可以備妥金錢、機票及護照？警方將把你移交內政部移民署遣返回國，是否清楚？</t>
        </is>
      </c>
      <c r="P7" s="782" t="inlineStr">
        <is>
          <t>你是否曾於上開時、地做出上開行為？請說明當時情形。</t>
        </is>
      </c>
      <c r="Q7" s="782" t="inlineStr">
        <is>
          <t>警方受理被害人報案稱你於何時、何地，有無以肢體、言語或其他方法妨害渠行動自由，你是否知悉此事？</t>
        </is>
      </c>
      <c r="R7" s="782" t="inlineStr">
        <is>
          <t>你今日因何事至本所製作筆錄？</t>
        </is>
      </c>
      <c r="S7" s="782" t="inlineStr">
        <is>
          <t>被害人報案稱你於何時、何地對渠實施監視、觀察、跟蹤、盯梢、守候或尾隨等行為，你是否知悉此事？</t>
        </is>
      </c>
      <c r="T7" s="782" t="inlineStr">
        <is>
          <t>被害人報案稱你明知虛偽仍向檢察官或警察機關提出刑事告訴，意圖使渠受刑事處分，你是否知悉此事？</t>
        </is>
      </c>
      <c r="U7" s="782" t="inlineStr">
        <is>
          <t>被害人指稱你於何時、何地違反法院核發之保護令，你是否知悉此事？</t>
        </is>
      </c>
      <c r="V7" s="782" t="inlineStr">
        <is>
          <t>在交付財物前，你是否相信對方陳述的事項為真？</t>
        </is>
      </c>
      <c r="W7" s="782" t="inlineStr">
        <is>
          <t>你於何時、何地遭受行為人實施性騷擾行為？請詳述案發過程</t>
        </is>
      </c>
      <c r="X7" s="782" t="inlineStr">
        <is>
          <t>行為人是否利用權勢、年幼或其他使人不能抗拒之情狀？</t>
        </is>
      </c>
      <c r="Y7" s="782" t="inlineStr">
        <is>
          <t>孩子是自己拿手機拍好傳給你，還是你跟孩子面對面碰過面？</t>
        </is>
      </c>
      <c r="AD7" s="782" t="inlineStr">
        <is>
          <t>你有沒有換過槍管、撞針，或用工具磨過、車過零件？</t>
        </is>
      </c>
    </row>
    <row r="8" ht="18.75" customHeight="1" s="683">
      <c r="A8" s="239" t="inlineStr">
        <is>
          <t>你是否知悉於警詢筆錄中做不實陳述須負法律責任?</t>
        </is>
      </c>
      <c r="B8" s="245" t="inlineStr">
        <is>
          <t>有無開立交通事故登記聯單？有無核發交通事故初步分析研判表？肇事原因為何？有無申請鑑定？</t>
        </is>
      </c>
      <c r="C8" s="245" t="inlineStr">
        <is>
          <t>你攻擊的部位是否為人體要害？</t>
        </is>
      </c>
      <c r="D8" s="593" t="inlineStr">
        <is>
          <t>你是否願意前往商家結帳？是否願意提供明細？</t>
        </is>
      </c>
      <c r="E8" s="782" t="inlineStr">
        <is>
          <t>你取得該物品後，將該物品放置於何處？</t>
        </is>
      </c>
      <c r="F8" s="782" t="inlineStr">
        <is>
          <t>警方出示監視器畫面供你辨識，畫面中之行為人是否為你本人？</t>
        </is>
      </c>
      <c r="G8" s="782" t="inlineStr">
        <is>
          <t>你於何時、何地、如何登入使用該帳號？最後一次登入使用該帳號是何時？</t>
        </is>
      </c>
      <c r="H8" s="782" t="inlineStr">
        <is>
          <t>你為何要發表上開言論？目的為何？</t>
        </is>
      </c>
      <c r="I8" s="782" t="inlineStr">
        <is>
          <t>經警方出示監視器畫面或對話紀錄，畫面（內容）中之人是否為你本人？</t>
        </is>
      </c>
      <c r="K8" s="593" t="inlineStr">
        <is>
          <t>○○網域虛擬代號「○○」是否為你本人使用?（網路性騷擾使用）</t>
        </is>
      </c>
      <c r="L8" s="250">
        <f>CONCATENATE("你從何時、何地開始駕駛",word用!$Z$2,"(",word用!$AA$2,")？行駛的距離？欲前往何處？")</f>
        <v/>
      </c>
      <c r="M8" s="249" t="n"/>
      <c r="N8" s="249">
        <f>CONCATENATE("你以何方式施用毒品",輸入!$H$7,"？有無以扣案之物品作為施用之器具？多久施用1次？數量為何？")</f>
        <v/>
      </c>
      <c r="O8" s="255" t="inlineStr">
        <is>
          <t>依就業服務法第60條規定，若查無非法容留、聘僱或媒介外國
人從事工作者及遣送事由可歸責之雇主者，其收容費用應由被
遣送之外國人負擔，你是否清楚？</t>
        </is>
      </c>
      <c r="P8" s="782" t="inlineStr">
        <is>
          <t>經警方出示監視器畫面供你辨識，畫面中之行為人是否為你本人？</t>
        </is>
      </c>
      <c r="Q8" s="782" t="inlineStr">
        <is>
          <t>經警方出示監視器（行車紀錄器）畫面供你辨識，畫面中之行為人是否為你本人？</t>
        </is>
      </c>
      <c r="R8" s="782" t="inlineStr">
        <is>
          <t>被害人報案稱你未經同意擅自使用渠身分資料、冒名簽署或行使偽造文書，你是否知悉此事？</t>
        </is>
      </c>
      <c r="S8" s="782" t="inlineStr">
        <is>
          <t>承上，你是否有以電話、簡訊、電子郵件、社群軟體或其他電子通訊設備，對被害人反覆或持續干擾？請說明具體內容。</t>
        </is>
      </c>
      <c r="T8" s="782" t="inlineStr">
        <is>
          <t>你是否曾向地檢署、法院或警察機關提出告訴、告發或申告？內容為何？請詳述。</t>
        </is>
      </c>
      <c r="U8" s="782" t="inlineStr">
        <is>
          <t>你是否知悉被害人已向法院聲請保護令並經核發？有無收到保護令之送達？</t>
        </is>
      </c>
      <c r="V8" s="782" t="inlineStr">
        <is>
          <t>你交付財物時，主要動機是相信對方說法，還是主要處於交易磋商中的壓力？</t>
        </is>
      </c>
      <c r="W8" s="782" t="inlineStr">
        <is>
          <t>你現在任職單位的職稱(位)為何？任現職多久？工作內容為何？薪資由何人支應？（釐清性平三法之適用）</t>
        </is>
      </c>
      <c r="X8" s="782" t="inlineStr">
        <is>
          <t>被害人當時之年齡及心智狀態為何？</t>
        </is>
      </c>
      <c r="Y8" s="782" t="inlineStr">
        <is>
          <t>你有沒有跟孩子說，不照做就會有不好的後果，或答應給好處？</t>
        </is>
      </c>
      <c r="AD8" s="782" t="inlineStr">
        <is>
          <t>你買槍的時候，它本來能不能打？是你改完之後才變得有殺傷力嗎？</t>
        </is>
      </c>
    </row>
    <row r="9" ht="18.75" customHeight="1" s="683">
      <c r="A9" s="239" t="inlineStr">
        <is>
          <t>你有無為自己或他人推卸刑責而向警方為不實陳述？</t>
        </is>
      </c>
      <c r="B9" s="245" t="inlineStr">
        <is>
          <t>你車禍發生時有無服用酒類或其他含有酒精成分之飲品或食品？有無實施酒精濃度測試？</t>
        </is>
      </c>
      <c r="C9" s="245" t="inlineStr">
        <is>
          <t>你使用的兇器、力道、次數是否足以致命？</t>
        </is>
      </c>
      <c r="D9" s="782" t="inlineStr">
        <is>
          <t>你在取得財物的過程中，是否有人發現你的行動？</t>
        </is>
      </c>
      <c r="E9" s="782" t="inlineStr">
        <is>
          <t>該物品現於何處？是否可以當場交付予警方？</t>
        </is>
      </c>
      <c r="F9" s="782" t="inlineStr">
        <is>
          <t>經警方提示監視器畫面，你是否確有毀損他人之物品？請說明當時情形。</t>
        </is>
      </c>
      <c r="G9" s="782" t="inlineStr">
        <is>
          <t>該帳號之登入裝置、地點與時間為何？有無他人同時使用該帳號之情形？</t>
        </is>
      </c>
      <c r="H9" s="782" t="inlineStr">
        <is>
          <t>上開言論所述內容是否屬實？有無相當理由確信其為真實？你有無事前查證？</t>
        </is>
      </c>
      <c r="I9" s="782" t="inlineStr">
        <is>
          <t>你為何要對被害人說出上開言語或做出上開行為？目的為何？</t>
        </is>
      </c>
      <c r="J9" s="245" t="n"/>
      <c r="K9" s="593" t="inlineStr">
        <is>
          <t>你對被害人之指述作何主張?請詳加描述當時情況?</t>
        </is>
      </c>
      <c r="L9" s="250" t="inlineStr">
        <is>
          <t>你於108年7月1日酒駕新法上路後是否有因酒後駕車遭警方查獲？</t>
        </is>
      </c>
      <c r="M9" s="249" t="n"/>
      <c r="N9" s="249">
        <f>CONCATENATE("你(於前案後)於何時、何地施用毒品",輸入!$H$7,"？")</f>
        <v/>
      </c>
      <c r="O9" s="254" t="inlineStr">
        <is>
          <t>遭警方逮捕時有無受傷？逃逸期間有無遭人虐待？</t>
        </is>
      </c>
      <c r="P9" s="782" t="inlineStr">
        <is>
          <t>你為何要為上開行為？目的為何？</t>
        </is>
      </c>
      <c r="Q9" s="782" t="inlineStr">
        <is>
          <t>你是否曾阻止被害人離去、限制渠行動或強迫渠行無義務之事？請說明當時情形。</t>
        </is>
      </c>
      <c r="R9" s="782" t="inlineStr">
        <is>
          <t>你是如何取得被害人之身分證件、帳戶資料或印章等文件？請詳述來源。</t>
        </is>
      </c>
      <c r="S9" s="782" t="inlineStr">
        <is>
          <t>你是否曾對被害人為警告、威脅、嘲弄、辱罵、歧視或不當追求之言語、行動？</t>
        </is>
      </c>
      <c r="T9" s="782" t="inlineStr">
        <is>
          <t>你提告當時所陳述之事實是否屬實？有何根據或證據？</t>
        </is>
      </c>
      <c r="U9" s="782" t="inlineStr">
        <is>
          <t>你違反保護令之行為為何？（例如：接近被害人住居所、以電話或訊息騷擾、實施暴力等）請詳述。</t>
        </is>
      </c>
      <c r="V9" s="782" t="inlineStr">
        <is>
          <t>對方所說內容是否存在明顯虛假，還是僅是在利用你的處境提出較不利條件？</t>
        </is>
      </c>
      <c r="W9" s="782" t="inlineStr">
        <is>
          <t>你是否認識被害人？是否曾有仇怨糾紛或借貸關係？</t>
        </is>
      </c>
      <c r="X9" s="782" t="inlineStr">
        <is>
          <t>對方今年幾歲？還在唸書嗎？他知不知道你對他做的這些事情代表什麼意思？</t>
        </is>
      </c>
      <c r="Y9" s="782" t="inlineStr">
        <is>
          <t>孩子傳來的照片影片，內容大概是什麼樣子？有沒有露身體？</t>
        </is>
      </c>
      <c r="AD9" s="782" t="inlineStr">
        <is>
          <t>除了這把槍，你還有沒有藏子彈、散彈或其他零件放在別的地方？</t>
        </is>
      </c>
    </row>
    <row r="10" ht="18.75" customHeight="1" s="683">
      <c r="A10" s="239" t="inlineStr">
        <is>
          <t>警方製作警詢筆錄時，有無全程錄音錄影？</t>
        </is>
      </c>
      <c r="B10" s="245" t="inlineStr">
        <is>
          <t>你當下行駛過程中是否有在車上使用行動電話或其他足以造成行車安全之行為?對方是否有使用？</t>
        </is>
      </c>
      <c r="C10" s="245" t="inlineStr">
        <is>
          <t>事發當時是否因情緒失控、一時氣憤而行為，而非預謀？</t>
        </is>
      </c>
      <c r="D10" s="782" t="inlineStr">
        <is>
          <t>之後是否使用 force, threat, or equipment 封鎖 others to keep going, 或 merely to escape?</t>
        </is>
      </c>
      <c r="E10" s="782" t="inlineStr">
        <is>
          <t>你為何要侵占該物品？</t>
        </is>
      </c>
      <c r="F10" s="782" t="inlineStr">
        <is>
          <t>你為何要毀損該物品？目的為何？</t>
        </is>
      </c>
      <c r="G10" s="782" t="inlineStr">
        <is>
          <t>你是否知悉他人未經授權入侵、登入或使用該帳號？你如何知悉？</t>
        </is>
      </c>
      <c r="H10" s="782" t="inlineStr">
        <is>
          <t>你所發表之言論係指涉何人？是否知悉該言論會貶損他人名譽？</t>
        </is>
      </c>
      <c r="I10" s="782" t="inlineStr">
        <is>
          <t>你為上開行為時，有無其他人共同參與？有無受人指使、教唆？</t>
        </is>
      </c>
      <c r="J10" s="245" t="n"/>
      <c r="K10" s="593" t="inlineStr">
        <is>
          <t>（就陳述之疑點反問）</t>
        </is>
      </c>
      <c r="L10" s="250" t="inlineStr">
        <is>
          <t>店家是否有告知酒後不能駕車，或是提供勿酒後駕車之標語，標示?請問你為何會有酒後駕車的行為？</t>
        </is>
      </c>
      <c r="M10" s="249" t="n"/>
      <c r="N10" s="249">
        <f>CONCATENATE("你所施用之毒品",輸入!$H$7,"係於何時、何地、向何人取得？價格、數量為何？")</f>
        <v/>
      </c>
      <c r="O10" s="254" t="n"/>
      <c r="P10" s="782" t="inlineStr">
        <is>
          <t>你為上開行為時，有無其他人共同參與？有無受人指使、教唆？</t>
        </is>
      </c>
      <c r="Q10" s="782" t="inlineStr">
        <is>
          <t>你為何要為上開行為？目的為何？</t>
        </is>
      </c>
      <c r="R10" s="782" t="inlineStr">
        <is>
          <t>你於何時、何地、以何種方式冒用被害人名義製作或行使何種文書？請說明該文書之種類、內容及用途。</t>
        </is>
      </c>
      <c r="S10" s="782" t="inlineStr">
        <is>
          <t>經警方提示監視器畫面或被害人提供之對話紀錄供你辨識，畫面（紀錄）中之人是否為你本人？你承不承認？</t>
        </is>
      </c>
      <c r="T10" s="782" t="inlineStr">
        <is>
          <t>承上，經警方查明被害人所稱與事實不符，你有何解釋？是否有誤認、誤信或受人誤導之情形？</t>
        </is>
      </c>
      <c r="U10" s="782" t="inlineStr">
        <is>
          <t>被害人報案前你是否已知悉保護令之內容？保護令主文禁止你做何事？</t>
        </is>
      </c>
      <c r="V10" s="782" t="inlineStr">
        <is>
          <t>對方跟你要帳戶的時候，有沒有說這些錢是怎麼來的？你當時怎麼理解的？</t>
        </is>
      </c>
      <c r="W10" s="782" t="inlineStr">
        <is>
          <t>針對以上所述，是否可以提供警方相關佐證資料以證明之你所主張之真實性？</t>
        </is>
      </c>
      <c r="X10" s="782" t="inlineStr">
        <is>
          <t>事情發生的時候，對方有沒有說不要，或用手推開你、哭、跑開？</t>
        </is>
      </c>
    </row>
    <row r="11" ht="18.75" customHeight="1" s="683">
      <c r="A11" s="239" t="inlineStr">
        <is>
          <t>警方於偵訊時你所陳述之事實是否為你自由意識下所陳述？警方有無以強暴脅迫等不正方法對你取供？警方在逮捕你時，有無使你受傷？</t>
        </is>
      </c>
      <c r="B11" s="453" t="inlineStr">
        <is>
          <t>你是否有裝設行車紀錄器?是否知悉對方有無裝設?你是否清楚案發地有無監視器的設置?</t>
        </is>
      </c>
      <c r="C11" s="245" t="inlineStr">
        <is>
          <t>你開車接近路口時，有沒有看到前面是紅燈、前面有車子停著？當時車速大概多快？</t>
        </is>
      </c>
      <c r="D11" s="782" t="inlineStr">
        <is>
          <t>try 的 threat sufficient to make them unable to resist  during the taking?</t>
        </is>
      </c>
      <c r="E11" s="782" t="inlineStr">
        <is>
          <t>你是如何侵占該物品？有無使用工具或遮掩？</t>
        </is>
      </c>
      <c r="F11" s="782" t="inlineStr">
        <is>
          <t>你是如何毀損該物品？有無使用工具？使用何種工具？</t>
        </is>
      </c>
      <c r="G11" s="782" t="inlineStr">
        <is>
          <t>你是否同意或授權他人使用該帳號？有無書面或其他證明？</t>
        </is>
      </c>
      <c r="H11" s="782" t="inlineStr">
        <is>
          <t>你發表上開言論時，現場有無其他人在場或見聞？</t>
        </is>
      </c>
      <c r="I11" s="782" t="inlineStr">
        <is>
          <t>你是否認識被害人？雙方有無仇恨、糾紛或其他利益衝突？</t>
        </is>
      </c>
      <c r="J11" s="245" t="n"/>
      <c r="K11" s="400" t="inlineStr">
        <is>
          <t>你對被害人施以前揭行為時，被害人有何反應(反抗或制止行為)?</t>
        </is>
      </c>
      <c r="L11" s="250" t="inlineStr">
        <is>
          <t>你酒後駕車期間是否有與人發生交通事故？</t>
        </is>
      </c>
      <c r="M11" s="249" t="n"/>
      <c r="N11" s="249" t="inlineStr">
        <is>
          <t>你最後一次施用毒品係於何時、何地、如何施用？</t>
        </is>
      </c>
      <c r="O11" s="36" t="n"/>
      <c r="P11" s="782" t="inlineStr">
        <is>
          <t>你是否認識被害人（報案人）？雙方有無仇恨、糾紛或嫌隙？</t>
        </is>
      </c>
      <c r="Q11" s="782" t="inlineStr">
        <is>
          <t>你為上開行為時，有無其他人共同參與？有無受人指使、教唆？</t>
        </is>
      </c>
      <c r="R11" s="782" t="inlineStr">
        <is>
          <t>經警方提示相關文書（契約、證件申請書、報稅資料等）供你辨識，其上簽名是否為你本人所簽？你承不承認？</t>
        </is>
      </c>
      <c r="S11" s="782" t="inlineStr">
        <is>
          <t>你為何要為上開行為？是否知悉被害人已明確表達不願與你往來或請你不要靠近？</t>
        </is>
      </c>
      <c r="T11" s="782" t="inlineStr">
        <is>
          <t>你提出上開告訴之目的為何？有無圖使被害人受刑事或懲戒處分之意圖？</t>
        </is>
      </c>
      <c r="U11" s="782" t="inlineStr">
        <is>
          <t>你為何要違反保護令之規定接近或騷擾被害人？目的為何？</t>
        </is>
      </c>
      <c r="V11" s="782" t="inlineStr">
        <is>
          <t>除了交出帳戶，你還有沒有幫忙收別人的帳戶、叫別人去領錢，或把領到的錢再交上去？</t>
        </is>
      </c>
      <c r="W11" s="782" t="inlineStr">
        <is>
          <t>以上內容是否為你自由意識下所為之陳述？</t>
        </is>
      </c>
      <c r="X11" s="782" t="inlineStr">
        <is>
          <t>對方完全沒有反抗，是因為他願意，還是因為他年紀太小不懂、不敢出聲？</t>
        </is>
      </c>
    </row>
    <row r="12" ht="18.75" customHeight="1" s="683">
      <c r="A12" s="601" t="inlineStr">
        <is>
          <t>警方於偵訊時你所陳述之事實是否為你自由意識下所陳述？警方有無以強暴脅迫等不正方法對你取供？</t>
        </is>
      </c>
      <c r="B12" s="245" t="inlineStr">
        <is>
          <t>事後你與對方有無商談相關賠償事宜?是否有達成和解？</t>
        </is>
      </c>
      <c r="C12" s="244" t="inlineStr">
        <is>
          <t>撞上去之前，你有沒有踩煞車、按喇叭或轉方向盤閃避？如果沒有，是來不及還是不想閃？</t>
        </is>
      </c>
      <c r="D12" s="782">
        <f>CONCATENATE("你把這台機車騎走之前，有沒有先問過車主能不能借用？當時車主人",輸入!$C$7,"？")</f>
        <v/>
      </c>
      <c r="E12" s="782" t="inlineStr">
        <is>
          <t>你侵占該物品時，有無其他共犯？有無受他人指使、教唆？</t>
        </is>
      </c>
      <c r="F12" s="782" t="inlineStr">
        <is>
          <t>你犯案時有無其他人陪同？是否共同實施？有無受人唆使？</t>
        </is>
      </c>
      <c r="G12" s="782" t="inlineStr">
        <is>
          <t>你有無點擊不明網站連結、釣魚郵件或提供驗證碼予他人？</t>
        </is>
      </c>
      <c r="H12" s="782" t="inlineStr">
        <is>
          <t>你發表上開言論時，有無其他人共同參與？有無受人指使、教唆？</t>
        </is>
      </c>
      <c r="I12" s="782" t="inlineStr">
        <is>
          <t>你是否知悉你所為之言語或行為足以使人心生畏懼？</t>
        </is>
      </c>
      <c r="J12" s="245" t="n"/>
      <c r="K12" s="593" t="inlineStr">
        <is>
          <t>為何要對被害人施予前揭行為?</t>
        </is>
      </c>
      <c r="L12" s="250" t="inlineStr">
        <is>
          <t>警方於查獲你時，妳車上是否有附載未滿12歲之人或其他乘客？</t>
        </is>
      </c>
      <c r="M12" s="249" t="n"/>
      <c r="N12" s="249" t="inlineStr">
        <is>
          <t>你使用之電話號碼？其申登人為何？開機密碼？鎖屏密碼？</t>
        </is>
      </c>
      <c r="O12" s="241" t="n"/>
      <c r="P12" s="782" t="inlineStr">
        <is>
          <t>你是否知悉你所為之行為足以造成公眾或他人生命、身體、財產之危險或心生畏懼？</t>
        </is>
      </c>
      <c r="Q12" s="782" t="inlineStr">
        <is>
          <t>你是否認識被害人？雙方有無仇恨、糾紛或金錢借貸關係？</t>
        </is>
      </c>
      <c r="R12" s="782" t="inlineStr">
        <is>
          <t>你為上開偽造行為之目的為何？有無獲得任何利益？</t>
        </is>
      </c>
      <c r="S12" s="782" t="inlineStr">
        <is>
          <t>你與被害人為何種關係？雙方有無感情糾紛、金錢借貸或其他仇恨？</t>
        </is>
      </c>
      <c r="T12" s="782" t="inlineStr">
        <is>
          <t>你與被害人為何種關係？雙方有無糾紛、嫌隙或金錢債務關係？</t>
        </is>
      </c>
      <c r="U12" s="782" t="inlineStr">
        <is>
          <t>你與被害人為何種關係？雙方有無糾紛或誤會？</t>
        </is>
      </c>
      <c r="V12" s="782" t="inlineStr">
        <is>
          <t>你跟對方認識多久？平常都用什麼方式聯絡，見過面嗎？</t>
        </is>
      </c>
      <c r="W12" s="782" t="inlineStr">
        <is>
          <t>對方觸碰你的時間很短暫一閃即逝，還是持續一段時間？</t>
        </is>
      </c>
      <c r="X12" s="782" t="inlineStr">
        <is>
          <t>你跟對方是什麼關係？你們認識多久了？</t>
        </is>
      </c>
    </row>
    <row r="13" ht="18.75" customHeight="1" s="683">
      <c r="A13" s="593" t="inlineStr">
        <is>
          <t>物品是否為你同意並主動交付？且搜索扣押筆錄是否由你親自審視後，並簽名捺印？</t>
        </is>
      </c>
      <c r="B13" s="36" t="inlineStr">
        <is>
          <t>你有無向調解委員會聲請調解程序？調解情形為何？</t>
        </is>
      </c>
      <c r="C13" s="48" t="inlineStr">
        <is>
          <t>車子撞上之後失控衝到對向車道時，你有沒有想到可能會撞到旁邊騎車或走路的人？</t>
        </is>
      </c>
      <c r="D13" s="782" t="inlineStr">
        <is>
          <t>你騎走機車時，心裡原本打算用多久？是打算當天就還回去，還是沒有想過歸還的事？</t>
        </is>
      </c>
      <c r="E13" s="782" t="inlineStr">
        <is>
          <t>你是否認識該物品之所有人？有無仇恨或糾紛？</t>
        </is>
      </c>
      <c r="F13" s="782" t="inlineStr">
        <is>
          <t>你是否認識該物品之所有人？雙方有無仇恨、糾紛或金錢借貸關係？</t>
        </is>
      </c>
      <c r="G13" s="782" t="inlineStr">
        <is>
          <t>經警方出示登入紀錄，畫面中所示之登入時間、IP位址是否為你所為？</t>
        </is>
      </c>
      <c r="H13" s="782" t="inlineStr">
        <is>
          <t>你是否認識被害人？雙方有無仇恨、糾紛或其他利益衝突？</t>
        </is>
      </c>
      <c r="I13" s="782" t="inlineStr">
        <is>
          <t>你是否知悉恐嚇他人屬違法行為？</t>
        </is>
      </c>
      <c r="J13" s="48" t="n"/>
      <c r="K13" s="593" t="inlineStr">
        <is>
          <t>針對以上所述，是否可以提供警方相關佐證資料以證明之你所主張之真實性？</t>
        </is>
      </c>
      <c r="L13" s="250" t="inlineStr">
        <is>
          <t>你身體有無任何不適之症狀?如發燒?你於駕車前是否有使用酒精成分物（食）品（如蜂膠、感冒糖漿、漱口水）等物？</t>
        </is>
      </c>
      <c r="M13" s="249" t="n"/>
      <c r="N13" s="251" t="inlineStr">
        <is>
          <t>你近日是否有服用其他藥品？</t>
        </is>
      </c>
      <c r="O13" s="238" t="n"/>
      <c r="P13" s="782" t="inlineStr">
        <is>
          <t>你是否知悉妨害秩序屬違法行為？</t>
        </is>
      </c>
      <c r="Q13" s="782" t="inlineStr">
        <is>
          <t>你是否知悉妨害他人行動自由屬違法行為？</t>
        </is>
      </c>
      <c r="R13" s="782" t="inlineStr">
        <is>
          <t>你為上開行為時，有無其他人共同參與？有無受人指使、教唆？</t>
        </is>
      </c>
      <c r="S13" s="782" t="inlineStr">
        <is>
          <t>你是否收到警方核發之書面告誡或法院核發之保護令？知悉其內容嗎？</t>
        </is>
      </c>
      <c r="T13" s="782" t="inlineStr">
        <is>
          <t>你提告時是否明知所述內容為虛偽不實？當時是否知悉誣告屬違法行為？</t>
        </is>
      </c>
      <c r="U13" s="782" t="inlineStr">
        <is>
          <t>經警方提示監視器畫面或被害人提供之對話紀錄，畫面（紀錄）中之人是否為你本人？你承不承認？</t>
        </is>
      </c>
      <c r="V13" s="782" t="inlineStr">
        <is>
          <t>你從這件事裡面有沒有拿到錢？大約多少，是固定的還是按次給的？</t>
        </is>
      </c>
      <c r="W13" s="782" t="inlineStr">
        <is>
          <t>對方是否使用拉扯、壓制等強制力使你無法反抗或離開？</t>
        </is>
      </c>
      <c r="X13" s="782" t="inlineStr">
        <is>
          <t>行為當時對方是否明確表示不要或反抗？</t>
        </is>
      </c>
    </row>
    <row r="14" ht="18.75" customHeight="1" s="683">
      <c r="A14" s="593" t="n"/>
      <c r="B14" s="36" t="inlineStr">
        <is>
          <t>你能提供何種資料(事故聯單、初判表、車鑑表、驗傷單)供警方後續偵辦使用?</t>
        </is>
      </c>
      <c r="C14" s="36" t="inlineStr">
        <is>
          <t>事發前你有多久沒睡覺？當時身體或精神狀況有沒有什麼異常，例如吃藥或生病？</t>
        </is>
      </c>
      <c r="D14" s="782" t="inlineStr">
        <is>
          <t>你把機車還回去的時候，車子跟騎走時相比有沒有損傷、缺油或多出里程？</t>
        </is>
      </c>
      <c r="E14" s="782" t="inlineStr">
        <is>
          <t>你當時有無使用交通工具前來或離去？你是否為該車輛之車主？有無相關證明可供佐證？</t>
        </is>
      </c>
      <c r="F14" s="782" t="inlineStr">
        <is>
          <t>你毀損他人物品後，前往何處？做何事？</t>
        </is>
      </c>
      <c r="G14" s="782" t="inlineStr">
        <is>
          <t>你為何要入侵、盜用該帳號？目的為何？</t>
        </is>
      </c>
      <c r="H14" s="782" t="inlineStr">
        <is>
          <t>你是否知悉發表不實言論或公然侮辱屬違法行為？</t>
        </is>
      </c>
      <c r="I14" s="782" t="inlineStr">
        <is>
          <t>你有無相關對話紀錄、通聯紀錄或其他證據可提供警方？</t>
        </is>
      </c>
      <c r="J14" s="36" t="n"/>
      <c r="K14" s="593" t="inlineStr">
        <is>
          <t>你是否認識被害人？是否曾有仇怨糾紛或借貸關係?</t>
        </is>
      </c>
      <c r="L14" s="249" t="inlineStr">
        <is>
          <t>你是如何與對方發生車禍？對方車牌為何</t>
        </is>
      </c>
      <c r="M14" s="249" t="n"/>
      <c r="N14" s="249" t="inlineStr">
        <is>
          <t>你有無因施用毒品經緩起訴處分、觀察勒戒或強制戒治？</t>
        </is>
      </c>
      <c r="O14" s="593" t="n"/>
      <c r="P14" s="782" t="inlineStr">
        <is>
          <t>你有無相關監視器畫面、對話紀錄或其他證據可提供警方？</t>
        </is>
      </c>
      <c r="Q14" s="782" t="inlineStr">
        <is>
          <t>你有無相關行車紀錄器、監視器畫面、對話紀錄或其他證據可提供警方？</t>
        </is>
      </c>
      <c r="R14" s="782" t="inlineStr">
        <is>
          <t>你是否認識被害人？雙方有無仇恨、糾紛或金錢借貸關係？</t>
        </is>
      </c>
      <c r="S14" s="782" t="inlineStr">
        <is>
          <t>你是否知悉反覆或持續實施跟蹤騷擾行為，經被害人報案並令渠心生畏怖，屬違法行為？</t>
        </is>
      </c>
      <c r="T14" s="782" t="inlineStr">
        <is>
          <t>你為上開行為時，有無其他人共同參與？有無受人教唆、指使？</t>
        </is>
      </c>
      <c r="U14" s="782" t="inlineStr">
        <is>
          <t>你是否知悉違反保護令屬刑事犯罪，可處有期徒刑、拘役或罰金？</t>
        </is>
      </c>
      <c r="V14" s="782" t="inlineStr">
        <is>
          <t>你拿到這筆錢之後，是直接拿去買東西繳錢，還是先轉給別人再轉回來？</t>
        </is>
      </c>
      <c r="W14" s="782" t="inlineStr">
        <is>
          <t>事發後你是否因被控制而無法決定自己的行動？</t>
        </is>
      </c>
      <c r="X14" s="782" t="inlineStr">
        <is>
          <t>你是否使用拉扯、壓制、掐脖等物理強制手段？</t>
        </is>
      </c>
    </row>
    <row r="15" ht="18.75" customHeight="1" s="683">
      <c r="B15" s="782" t="inlineStr">
        <is>
          <t>你把提款卡交給對方或弄丟之前，有沒有想過對方可能拿去做壞事？當時心裡是怎麼想的？</t>
        </is>
      </c>
      <c r="C15" s="782" t="inlineStr">
        <is>
          <t>你跟這個孩子是什麼關係？平常是誰在照顧他的生活起居？</t>
        </is>
      </c>
      <c r="D15" s="782" t="inlineStr">
        <is>
          <t>你騎走這台機車，是為了解決什麼急事？事後你是主動還車，還是被找到才交出來？</t>
        </is>
      </c>
      <c r="E15" s="782" t="inlineStr">
        <is>
          <t>警方出示監視器畫面供你辨識，畫面中之男子是否為你本人？</t>
        </is>
      </c>
      <c r="F15" s="782" t="inlineStr">
        <is>
          <t>你是否知道毀損他人物品屬違法之行為？</t>
        </is>
      </c>
      <c r="G15" s="782" t="inlineStr">
        <is>
          <t>你入侵該帳號時，有無使用工具、程式或特殊技術？有無其他共犯或受人指使、教唆？</t>
        </is>
      </c>
      <c r="H15" s="782" t="inlineStr">
        <is>
          <t>你事後有無刪除該言論或向被害人道歉、澄清？</t>
        </is>
      </c>
      <c r="I15" s="782" t="inlineStr">
        <is>
          <t>因本案為告訴乃論之罪，你是否願意配合臺北地檢署進行調解？</t>
        </is>
      </c>
      <c r="K15" s="593" t="inlineStr">
        <is>
          <t>被害人任職(所屬)單位機構?職稱(職位)為何?與你係何關係?( 釐清性平三法之適用：有無共同作業(同事)或業務（商務）往來?雙方有無雇傭、從屬、監督及其他權力不對等之權勢關係)</t>
        </is>
      </c>
      <c r="L15" s="249" t="inlineStr">
        <is>
          <t>你當時行駛之車道為何？車速為何？行經上述肇事路口時路口號誌為何？</t>
        </is>
      </c>
      <c r="M15" s="249" t="n"/>
      <c r="N15" s="249" t="inlineStr">
        <is>
          <t>你是否仍在緩起訴期間？(如答是，請續問在哪個地檢署?哪個醫療院所?)</t>
        </is>
      </c>
      <c r="O15" s="593" t="n"/>
      <c r="P15" s="782" t="inlineStr">
        <is>
          <t>你是否願意配合臺北地檢署進行調解？</t>
        </is>
      </c>
      <c r="Q15" s="782" t="inlineStr">
        <is>
          <t>你是否願意配合臺北地檢署進行調解或和解？</t>
        </is>
      </c>
      <c r="R15" s="782" t="inlineStr">
        <is>
          <t>你是否清楚未經他人同意冒用其身分、偽造或變造文書屬違法行為？</t>
        </is>
      </c>
      <c r="S15" s="782" t="inlineStr">
        <is>
          <t>你為上開行為時，有無其他人共同參與？有無受人指使、教唆？</t>
        </is>
      </c>
      <c r="T15" s="782" t="inlineStr">
        <is>
          <t>你有無相關事證可證明你提告時係出於合理懷疑或誤認？</t>
        </is>
      </c>
      <c r="U15" s="782" t="inlineStr">
        <is>
          <t>你為上開行為時，有無其他人共同參與？有無受人指使、教唆？</t>
        </is>
      </c>
      <c r="V15" s="782" t="inlineStr">
        <is>
          <t>錢轉出去的時候，是用你自己的名字匯款，還是用別人的名字或領現金？</t>
        </is>
      </c>
      <c r="W15" s="782" t="inlineStr">
        <is>
          <t>對方行為是否僅為短暫觸摸，抑或包含親吻、拍攝等多重舉動？</t>
        </is>
      </c>
      <c r="X15" s="782" t="inlineStr">
        <is>
          <t>對方當時幾歲，是否滿16歲？</t>
        </is>
      </c>
    </row>
    <row r="16" ht="18.75" customHeight="1" s="683">
      <c r="B16" s="782" t="inlineStr">
        <is>
          <t>這本存摺是不是你每個月領補助錢、維持生活最重要的帳戶？你平常多久去領一次錢？</t>
        </is>
      </c>
      <c r="C16" s="782" t="inlineStr">
        <is>
          <t>孩子燙傷當時，傷勢看起來有多嚴重？你有沒有看到起水泡、脫皮或大面積發紅？</t>
        </is>
      </c>
      <c r="D16" s="782" t="inlineStr">
        <is>
          <t>你在取得該物品時，是否已經知道未經所有者同意，仍決定將其取走使用？</t>
        </is>
      </c>
      <c r="E16" s="782" t="inlineStr">
        <is>
          <t>你有無有利之證據可提供警方，或有請求警方調查之處？</t>
        </is>
      </c>
      <c r="F16" s="782" t="inlineStr">
        <is>
          <t>因本案為告訴乃論之罪，你是否願意配合臺北地檢署進行調解？</t>
        </is>
      </c>
      <c r="G16" s="782" t="inlineStr">
        <is>
          <t>該帳號遭使用後，有無不明款項匯出、匯入或其他財務損失？</t>
        </is>
      </c>
      <c r="H16" s="782" t="inlineStr">
        <is>
          <t>因本案為告訴乃論之罪，你是否願意配合臺北地檢署進行調解？</t>
        </is>
      </c>
      <c r="I16" s="782" t="inlineStr">
        <is>
          <t>你事後有無向被害人道歉或採取補救措施？</t>
        </is>
      </c>
      <c r="K16" s="593" t="inlineStr">
        <is>
          <t>依性騷擾防治法第18條規定，因本案係權勢性騷擾以外之性騷擾事件，任一方當事人如有意願進行調解，得以書面或言詞向直轄市、縣（市）社政主管機關申請調解，你是否知悉?你是否有意願申請調解? (如非適用性騷擾防治法，或本案涉及權勢性騷擾，請刪除)</t>
        </is>
      </c>
      <c r="L16" s="249" t="inlineStr">
        <is>
          <t>你是否知悉你碰撞自小客貨6N-5698車體何處？</t>
        </is>
      </c>
      <c r="M16" s="249" t="n"/>
      <c r="N16" s="249" t="inlineStr">
        <is>
          <t>你是否知道各地方政府毒品危害防制中心有連結社政、衛政、醫療等資源，為藥癮者本人或家屬提供諮詢服務，包含戒癮治療、愛滋病篩檢、心理輔導、醫療諮詢、社會扶助、職業訓練及就業協助等？</t>
        </is>
      </c>
      <c r="O16" s="36" t="n"/>
      <c r="P16" s="782" t="inlineStr">
        <is>
          <t>你事後有無向被害人道歉或採取補救措施？</t>
        </is>
      </c>
      <c r="Q16" s="782" t="inlineStr">
        <is>
          <t>你事後有無向被害人道歉或採取補救措施？</t>
        </is>
      </c>
      <c r="R16" s="782" t="inlineStr">
        <is>
          <t>你有無相關契約、簽名、影像或通訊紀錄等證據可提供警方？</t>
        </is>
      </c>
      <c r="S16" s="782" t="inlineStr">
        <is>
          <t>你有無相關通訊紀錄、影像或其他證據可提供警方？</t>
        </is>
      </c>
      <c r="T16" s="782" t="inlineStr">
        <is>
          <t>你是否願意配合臺北地檢署調解或與被害人達成和解？</t>
        </is>
      </c>
      <c r="U16" s="782" t="inlineStr">
        <is>
          <t>你事後有無停止騷擾行為或採取補救措施？是否願意配合調解或和解？</t>
        </is>
      </c>
      <c r="V16" s="782">
        <f>CONCATENATE("你這樣轉來轉去，是為了讓人查不到錢從",輸入!$C$7,"來，還是只是方便付款？")</f>
        <v/>
      </c>
      <c r="W16" s="782" t="inlineStr">
        <is>
          <t>對方觸碰你持續多久，是瞬間還是數分鐘？</t>
        </is>
      </c>
      <c r="X16" s="782" t="inlineStr">
        <is>
          <t>若無強制手段，是否仍因對方未滿16歲而成立犯罪？</t>
        </is>
      </c>
    </row>
    <row r="17" ht="18.75" customHeight="1" s="683">
      <c r="B17" s="782" t="inlineStr">
        <is>
          <t>你的記性不好這件事，有沒有去醫院看過？醫生有沒有說會影響記憶或判斷？</t>
        </is>
      </c>
      <c r="C17" s="782" t="inlineStr">
        <is>
          <t>從發現燙傷到孩子過世之間大約隔了多久？這段時間你們做了哪些處理，有沒有打電話求助或送醫院？</t>
        </is>
      </c>
      <c r="D17" s="782" t="inlineStr">
        <is>
          <t>你取得該物品時，目的是否僅為短暫使用，並計畫事後歸還？</t>
        </is>
      </c>
      <c r="E17" s="782" t="inlineStr">
        <is>
          <t>以上筆錄是否為你自由意識下之陳述？警方有無使用暴力、脅迫、威脅、利誘或其他不正方法向你取供？警方製作筆錄過程中有無全程錄音、錄影？</t>
        </is>
      </c>
      <c r="F17" s="782" t="inlineStr">
        <is>
          <t>上開筆錄是否為你自由意識下之陳述？警方有無以強暴、脅迫或其他不正方法向你取供？</t>
        </is>
      </c>
      <c r="G17" s="782" t="inlineStr">
        <is>
          <t>你有無相關登入紀錄、通聯紀錄或其他證據可提供警方？</t>
        </is>
      </c>
      <c r="H17" s="782" t="inlineStr">
        <is>
          <t>你有無相關對話紀錄、發文紀錄或其他證據可提供警方？</t>
        </is>
      </c>
      <c r="I17" s="782" t="inlineStr">
        <is>
          <t>警方在製作筆錄時，你的精神狀況如何？意識是否清楚？有無遭警方脅迫或威脅等違法情事？</t>
        </is>
      </c>
      <c r="K17" s="593" t="inlineStr">
        <is>
          <t>你的文書送達地址為何?</t>
        </is>
      </c>
      <c r="L17" s="249" t="inlineStr">
        <is>
          <t>你是否知悉你酒後駕車肇事後有無造成任何人受傷？</t>
        </is>
      </c>
      <c r="M17" s="249" t="n"/>
      <c r="N17" s="249" t="inlineStr">
        <is>
          <t>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t>
        </is>
      </c>
      <c r="O17" s="36" t="n"/>
      <c r="P17" s="782" t="inlineStr">
        <is>
          <t>警方在製作筆錄時，你的精神狀況如何？意識是否清楚？有無遭警方脅迫或威脅等違法情事？</t>
        </is>
      </c>
      <c r="Q17" s="782" t="inlineStr">
        <is>
          <t>警方在製作筆錄時，你的精神狀況如何？意識是否清楚？有無遭警方脅迫或威脅等違法情事？</t>
        </is>
      </c>
      <c r="R17" s="782" t="inlineStr">
        <is>
          <t>你事後有無歸還相關證件或採取補救措施？是否願意配合調解或和解？</t>
        </is>
      </c>
      <c r="S17" s="782" t="inlineStr">
        <is>
          <t>你事後有無停止騷擾行為或採取補救措施？是否願意配合調解或和解？</t>
        </is>
      </c>
      <c r="T17" s="782" t="inlineStr">
        <is>
          <t>你事後是否知悉警方查明事實後，有撤回告訴或更正陳述之意願？</t>
        </is>
      </c>
      <c r="U17" s="782" t="inlineStr">
        <is>
          <t>你目前是否有喝酒或施用毒品？精神狀況是否正常？有無需要協助之情形？</t>
        </is>
      </c>
      <c r="V17" s="782" t="inlineStr">
        <is>
          <t>你轉錢的時候，知不知道這筆錢是從犯罪來的？</t>
        </is>
      </c>
      <c r="W17" s="782" t="inlineStr">
        <is>
          <t>對方是否刻意遮擋行為避免他人看見？</t>
        </is>
      </c>
    </row>
    <row r="18" ht="18.75" customHeight="1" s="683">
      <c r="B18" s="782" t="inlineStr">
        <is>
          <t>密碼紙條是從什麼時候開始跟提款卡放在一起的？你有沒有想過分開保管？</t>
        </is>
      </c>
      <c r="C18" s="782" t="inlineStr">
        <is>
          <t>當時為什麼沒有把孩子送去醫院？是沒有錢、沒有交通工具，還是有其他原因？</t>
        </is>
      </c>
      <c r="D18" s="782" t="inlineStr">
        <is>
          <t>在使用期間，該物品是否發生損耗或價值下降的情形？</t>
        </is>
      </c>
      <c r="E18" s="782" t="inlineStr">
        <is>
          <t>筆錄內容記載有無錯誤？有何意見補充？</t>
        </is>
      </c>
      <c r="F18" s="782" t="inlineStr">
        <is>
          <t>筆錄內容記載是否屬實正確？有無其他意見補充？</t>
        </is>
      </c>
      <c r="G18" s="782" t="inlineStr">
        <is>
          <t>你是怎麼拿到對方帳號密碼的？是對方自己告訴你的，還是你猜到的，還是用程式破解的？</t>
        </is>
      </c>
      <c r="H18" s="782" t="inlineStr">
        <is>
          <t>你所說的話是否指涉對方做過的特定具體事情？</t>
        </is>
      </c>
      <c r="I18" s="782" t="inlineStr">
        <is>
          <t>對方當時跟你說了什麼話或傳了什麼訊息，讓你相信不付錢就會有不好的事情發生？還記得內容嗎？</t>
        </is>
      </c>
      <c r="K18" s="593" t="inlineStr">
        <is>
          <t>對方觸碰你的時間很短暫一閃即逝，還是持續一段時間？</t>
        </is>
      </c>
      <c r="L18" s="782">
        <f>CONCATENATE("你騎車出門之前喝了多少酒？最後一杯大概是",LEFT(輸入!$C$8,3)&amp;"年"&amp;MID(輸入!$C$8,4,2)&amp;"月"&amp;MID(輸入!$C$8,6,2)&amp;"日","喝的？")</f>
        <v/>
      </c>
      <c r="N18" s="782" t="inlineStr">
        <is>
          <t>你持有毒品之數量，是否超出個人短期施用量？</t>
        </is>
      </c>
      <c r="P18" s="782" t="inlineStr">
        <is>
          <t>你們當天是約好要去吃飯唱歌，還是約好要去找對方打架？</t>
        </is>
      </c>
      <c r="Q18" s="782" t="inlineStr">
        <is>
          <t>對方當時是否已無法自由離開或行動？</t>
        </is>
      </c>
      <c r="R18" s="782" t="inlineStr">
        <is>
          <t>你取得並使用的票據，是否屬於支票等具流通功能的有價證券？</t>
        </is>
      </c>
      <c r="S18" s="782" t="inlineStr">
        <is>
          <t>對方行為是否反覆持續發生？</t>
        </is>
      </c>
      <c r="T18" s="782" t="inlineStr">
        <is>
          <t>你第一次講這些事情的時候，地點是在警察局、地檢署，還是跟親友鄰居聊天或在網路上發文？</t>
        </is>
      </c>
      <c r="U18" s="782" t="inlineStr">
        <is>
          <t>你與對方是否具有配偶、親屬、同住等家庭成員關係？</t>
        </is>
      </c>
      <c r="V18" s="782" t="inlineStr">
        <is>
          <t>對方請你幫忙處理事情的時候，有沒有說好你可以做哪些事、不能做哪些事？</t>
        </is>
      </c>
      <c r="W18" s="782" t="inlineStr">
        <is>
          <t>有人靠近時對方是否立即停止或躲避？</t>
        </is>
      </c>
    </row>
    <row r="19" ht="247.5" customHeight="1" s="683">
      <c r="B19" s="782" t="inlineStr">
        <is>
          <t>你當時做了哪些動作？</t>
        </is>
      </c>
      <c r="C19" s="33" t="inlineStr">
        <is>
          <t>你把提款卡交給對方或弄丟之前，有沒有想過對方可能拿去做壞事？當時心裡是怎麼想的？</t>
        </is>
      </c>
      <c r="D19" s="33" t="inlineStr">
        <is>
          <t>即使事後歸還，你是否在使用期間進行了影響該物品權利或價值的行為？</t>
        </is>
      </c>
      <c r="E19" s="33" t="inlineStr">
        <is>
          <t>你當時在學校擔任什麼職務？開立支票這件事，是你職務範圍內本來就可以做的嗎？</t>
        </is>
      </c>
      <c r="F19" s="33" t="inlineStr">
        <is>
          <t>你破壞了 victim's vehicle window/lock with the purpose of entering to steal contents, or only to cause loss?</t>
        </is>
      </c>
      <c r="G19" s="33" t="inlineStr">
        <is>
          <t>你操作轉帳或付款的時候，是拿對方的手機，還是用你自己的電腦登入？</t>
        </is>
      </c>
      <c r="H19" s="33">
        <f>CONCATENATE("你能否說出對方",LEFT(輸入!$C$8,3)&amp;"年"&amp;MID(輸入!$C$8,4,2)&amp;"月"&amp;MID(輸入!$C$8,6,2)&amp;"日","、何地、做了什麼具體行為？")</f>
        <v/>
      </c>
      <c r="I19" s="33" t="inlineStr">
        <is>
          <t>你去超商付錢的時候，心裡比較相信對方說的是真的，還是比較害怕對方會把你的事情公開？</t>
        </is>
      </c>
      <c r="K19" s="33" t="inlineStr">
        <is>
          <t>對方是否使用拉扯、壓制等強制力使你無法反抗或離開？</t>
        </is>
      </c>
      <c r="L19" s="574" t="inlineStr">
        <is>
          <t>你的機車駕照目前是有效的嗎？如果沒有，是從來沒考過還是被吊扣了？</t>
        </is>
      </c>
      <c r="N19" s="33" t="inlineStr">
        <is>
          <t>你有無施用毒品習慣，尿液檢驗結果為何？</t>
        </is>
      </c>
      <c r="P19" s="33" t="inlineStr">
        <is>
          <t>去之前有沒有人準備棍棒刀械，或打電話叫更多人來？</t>
        </is>
      </c>
      <c r="Q19" s="33" t="inlineStr">
        <is>
          <t>你使用之手段是否已達剝奪對方行動自由之程度？</t>
        </is>
      </c>
      <c r="R19" s="33" t="inlineStr">
        <is>
          <t>你簽發或使用票據時，是否有合法且未逾範圍的授權？</t>
        </is>
      </c>
      <c r="S19" s="33" t="inlineStr">
        <is>
          <t>行為是否與性或性別有關？</t>
        </is>
      </c>
      <c r="T19" s="33" t="inlineStr">
        <is>
          <t>當時跟你說話或收你書狀的人，是警察、檢察官、法官，還是一般的親友或網友？</t>
        </is>
      </c>
      <c r="U19" s="782" t="inlineStr">
        <is>
          <t>行為發生在家庭場域或因家庭糾紛而起？</t>
        </is>
      </c>
      <c r="V19" s="33" t="inlineStr">
        <is>
          <t>那些錢本來應該交給誰？你後來把錢拿去做了什麼用？</t>
        </is>
      </c>
      <c r="W19" s="782" t="inlineStr">
        <is>
          <t>你當時年齡為何，是否有能力反抗或求助？</t>
        </is>
      </c>
      <c r="X19" s="33" t="n"/>
      <c r="Y19" s="33" t="n"/>
      <c r="Z19" s="33" t="n"/>
      <c r="AA19" s="33" t="n"/>
      <c r="AB19" s="574" t="n"/>
      <c r="AC19" s="574" t="n"/>
      <c r="AD19" s="574" t="n"/>
    </row>
    <row r="20" ht="181.5" customHeight="1" s="683">
      <c r="B20" s="782" t="inlineStr">
        <is>
          <t>你當時是否看見對方有任何不舒服或受傷情形？</t>
        </is>
      </c>
      <c r="C20" s="33" t="inlineStr">
        <is>
          <t>這本存摺是不是你每個月領補助錢、維持生活最重要的帳戶？你平常多久去領一次錢？</t>
        </is>
      </c>
      <c r="D20" s="33" t="inlineStr">
        <is>
          <t>該物品是否為他人犯罪所得之贓物？</t>
        </is>
      </c>
      <c r="E20" s="574">
        <f>CONCATENATE("你開出去的這張支票，錢最後是流向哪一個特定的對象或帳戶？這筆錢原本應該用在",輸入!$C$7,"？")</f>
        <v/>
      </c>
      <c r="F20" s="33" t="inlineStr">
        <is>
          <t>Did you take any property from the vehicle after breaking it in? If so, what and approximate value?</t>
        </is>
      </c>
      <c r="G20" s="33" t="inlineStr">
        <is>
          <t>對方知不知道你拿他的手機去付錢？他有沒有答應？</t>
        </is>
      </c>
      <c r="H20" s="574" t="inlineStr">
        <is>
          <t>你是在陳述可驗證真假的事實，還是在表達情緒或評價？</t>
        </is>
      </c>
      <c r="I20" s="33" t="inlineStr">
        <is>
          <t>如果對方從頭到尾都沒有威脅你，你還會去超商付這筆錢嗎？</t>
        </is>
      </c>
      <c r="K20" s="33" t="inlineStr">
        <is>
          <t>事發後你是否因被控制而無法決定自己的行動？</t>
        </is>
      </c>
      <c r="L20" s="33" t="inlineStr">
        <is>
          <t>撞到人之前，你有沒有看到對方？當時你的車速大約多少，有沒有煞車或閃避？</t>
        </is>
      </c>
      <c r="N20" s="33" t="inlineStr">
        <is>
          <t>有無分裝、磅秤、帳冊、交易紀錄等販賣跡象？</t>
        </is>
      </c>
      <c r="P20" s="33" t="inlineStr">
        <is>
          <t>打起來之前，你們跟對方是第一次見面吵起來，還是早就約好時間地點？</t>
        </is>
      </c>
      <c r="Q20" s="33" t="inlineStr">
        <is>
          <t>你是為使對方做某件事，還是為限制其行動本身？</t>
        </is>
      </c>
      <c r="R20" s="33" t="inlineStr">
        <is>
          <t>若授權已被撤回，你是否仍在以他人名義簽發或處分該票據？</t>
        </is>
      </c>
      <c r="S20" s="33" t="inlineStr">
        <is>
          <t>是否已影響你的日常生活或社會活動？</t>
        </is>
      </c>
      <c r="T20" s="33" t="inlineStr">
        <is>
          <t>你去講這些事情，是希望對方被警察抓去辦，還是只想讓周圍的人知道這件事？</t>
        </is>
      </c>
      <c r="U20" s="782" t="inlineStr">
        <is>
          <t>對方身體是否因此受傷？</t>
        </is>
      </c>
      <c r="V20" s="33" t="inlineStr">
        <is>
          <t>你是騙對方把錢交給你，還是對方本來就把錢放在你這裡請你轉交？</t>
        </is>
      </c>
      <c r="X20" s="33" t="n"/>
      <c r="Y20" s="33" t="n"/>
      <c r="Z20" s="33" t="n"/>
      <c r="AA20" s="33" t="n"/>
      <c r="AB20" s="33" t="n"/>
      <c r="AC20" s="33" t="n"/>
      <c r="AD20" s="33" t="n"/>
    </row>
    <row r="21" ht="264" customHeight="1" s="683">
      <c r="B21" s="782" t="inlineStr">
        <is>
          <t>你所做的動作與對方受傷之間，你知道哪些情況？</t>
        </is>
      </c>
      <c r="C21" s="33" t="inlineStr">
        <is>
          <t>你的記性不好這件事，有沒有去醫院看過？醫生有沒有說會影響記憶或判斷？</t>
        </is>
      </c>
      <c r="D21" s="33" t="inlineStr">
        <is>
          <t>你接觸該物品前，該物品由誰保管或使用？</t>
        </is>
      </c>
      <c r="E21" s="33" t="inlineStr">
        <is>
          <t>除了這張支票之外，學校整體的錢財或帳目是否也因此出現短缺或混亂？</t>
        </is>
      </c>
      <c r="F21" s="33" t="inlineStr">
        <is>
          <t>If you found nothing valuable inside and left, were the damage done only as a incidental consequence without intent to take anything?</t>
        </is>
      </c>
      <c r="G21" s="33" t="inlineStr">
        <is>
          <t>付錢的簡訊或通知是傳到誰的手機？你有沒有把通知刪掉？</t>
        </is>
      </c>
      <c r="H21" s="33" t="inlineStr">
        <is>
          <t>旁人聽到你的話，能否得知具體事件內容，抑或僅感受到謾罵？</t>
        </is>
      </c>
      <c r="I21" s="33" t="inlineStr">
        <is>
          <t>付錢之前，對方有沒有給你時間考慮或跟家人商量？有的話大約多久？</t>
        </is>
      </c>
      <c r="K21" s="33" t="inlineStr">
        <is>
          <t>對方行為是否僅為短暫觸摸，抑或包含親吻、拍攝等多重舉動？</t>
        </is>
      </c>
      <c r="L21" s="33" t="inlineStr">
        <is>
          <t>對方騎的是什麼車？事發路段有沒有紅綠燈或讓路的標誌？</t>
        </is>
      </c>
      <c r="N21" s="33" t="inlineStr">
        <is>
          <t>你持有毒品之目的是自用還是販賣？</t>
        </is>
      </c>
      <c r="P21" s="33" t="inlineStr">
        <is>
          <t>現場總共有多少人動手？有沒有人只是在旁邊看？</t>
        </is>
      </c>
      <c r="Q21" s="33" t="inlineStr">
        <is>
          <t>對方若不從，是否仍可自由離開現場？</t>
        </is>
      </c>
      <c r="R21" s="33" t="inlineStr">
        <is>
          <t>這份文件上面的簽名或印章，是你自己簽的、蓋的嗎？如果不是，是誰弄上去的？</t>
        </is>
      </c>
      <c r="S21" s="33" t="inlineStr">
        <is>
          <t>對方有無以加害生命身體等事威脅你？</t>
        </is>
      </c>
      <c r="T21" s="33" t="inlineStr">
        <is>
          <t>你講的內容，是你自己親眼看到的，還是聽別人說的？有沒有照片或文件可以證明？</t>
        </is>
      </c>
      <c r="U21" s="782" t="inlineStr">
        <is>
          <t>是否曾聲請保護令或有家暴前科？</t>
        </is>
      </c>
      <c r="V21" s="33" t="inlineStr">
        <is>
          <t>你向對方傳達了哪些內容？</t>
        </is>
      </c>
      <c r="X21" s="33" t="n"/>
      <c r="Y21" s="33" t="n"/>
      <c r="Z21" s="33" t="n"/>
      <c r="AA21" s="33" t="n"/>
      <c r="AB21" s="33" t="n"/>
      <c r="AC21" s="33" t="n"/>
      <c r="AD21" s="33" t="n"/>
    </row>
    <row r="22" ht="165" customHeight="1" s="683">
      <c r="C22" s="33" t="inlineStr">
        <is>
          <t>你當時做了哪些動作？</t>
        </is>
      </c>
      <c r="D22" s="574" t="inlineStr">
        <is>
          <t>請說明你取得或移動該物品的過程。</t>
        </is>
      </c>
      <c r="E22" s="33" t="inlineStr">
        <is>
          <t>你最初如何取得或保管該物品？</t>
        </is>
      </c>
      <c r="F22" s="33" t="inlineStr">
        <is>
          <t>請說明你接觸的物品及接觸前後差異。</t>
        </is>
      </c>
      <c r="G22" s="33" t="inlineStr">
        <is>
          <t>你曾使用哪一個系統、設備或帳號？</t>
        </is>
      </c>
      <c r="H22" s="33" t="inlineStr">
        <is>
          <t>請完整說明你所表達的內容。</t>
        </is>
      </c>
      <c r="I22" s="33" t="inlineStr">
        <is>
          <t>你當時說了什麼或做了什麼？</t>
        </is>
      </c>
      <c r="K22" s="33" t="inlineStr">
        <is>
          <t>對方觸碰你持續多久，是瞬間還是數分鐘？</t>
        </is>
      </c>
      <c r="L22" s="33" t="inlineStr">
        <is>
          <t>請說明駕駛前的飲酒、飲食或用藥情形。</t>
        </is>
      </c>
      <c r="N22" s="33" t="inlineStr">
        <is>
          <t>請說明涉及物質的名稱、外觀及你如何得知其內容。</t>
        </is>
      </c>
      <c r="P22" s="33" t="n"/>
      <c r="Q22" s="33" t="inlineStr">
        <is>
          <t>事發當時，對方穿著制服或配戴識別證嗎？你怎麼知道他是在上班？</t>
        </is>
      </c>
      <c r="R22" s="33" t="inlineStr">
        <is>
          <t>請說明涉及的文件及文件記載內容。</t>
        </is>
      </c>
      <c r="S22" s="33" t="n"/>
      <c r="T22" s="33" t="inlineStr">
        <is>
          <t>你講這些話的時候，有沒有先在書面上簽名或念出保證說實話的誓詞？當時檢察官或法官有沒有提醒你說謊會有刑責？</t>
        </is>
      </c>
      <c r="V22" s="33" t="inlineStr">
        <is>
          <t>你當時認為對方會如何理解你所傳達的內容？</t>
        </is>
      </c>
      <c r="X22" s="33" t="n"/>
      <c r="Y22" s="33" t="n"/>
      <c r="Z22" s="33" t="n"/>
      <c r="AA22" s="33" t="n"/>
      <c r="AB22" s="33" t="n"/>
      <c r="AC22" s="33" t="n"/>
      <c r="AD22" s="33" t="n"/>
    </row>
    <row r="23" ht="214.5" customHeight="1" s="683">
      <c r="C23" s="33" t="inlineStr">
        <is>
          <t>你當時是否看見對方有任何不舒服或受傷情形？</t>
        </is>
      </c>
      <c r="D23" s="33" t="inlineStr">
        <is>
          <t>物品持有人是否同意你取得或使用該物品？</t>
        </is>
      </c>
      <c r="E23" s="33" t="inlineStr">
        <is>
          <t>物品所有人是否曾要求你返還？請說明經過。</t>
        </is>
      </c>
      <c r="F23" s="33" t="inlineStr">
        <is>
          <t>請說明你接觸或處理該物品的方式。</t>
        </is>
      </c>
      <c r="G23" s="782" t="inlineStr">
        <is>
          <t>你認為自己獲得何種使用授權？</t>
        </is>
      </c>
      <c r="H23" s="33" t="inlineStr">
        <is>
          <t>你將內容傳達給哪些人或發布在何處？</t>
        </is>
      </c>
      <c r="I23" s="33" t="inlineStr">
        <is>
          <t>當時雙方所在的位置及離開條件為何？</t>
        </is>
      </c>
      <c r="K23" s="33" t="inlineStr">
        <is>
          <t>對方是否刻意遮擋行為避免他人看見？</t>
        </is>
      </c>
      <c r="L23" s="782" t="inlineStr">
        <is>
          <t>請說明駕駛的車輛、路線、時間及距離。</t>
        </is>
      </c>
      <c r="N23" s="782" t="inlineStr">
        <is>
          <t>該物質如何由你保管或控制？</t>
        </is>
      </c>
      <c r="Q23" s="33" t="inlineStr">
        <is>
          <t>對方當時是在門口攔人、巡視設備，還是在做其他事情？你有看到嗎？</t>
        </is>
      </c>
      <c r="R23" s="33" t="inlineStr">
        <is>
          <t>文件上的簽名、印章或名義如何形成？</t>
        </is>
      </c>
      <c r="T23" s="33" t="inlineStr">
        <is>
          <t>那一次你是坐在證人的位置回答問題，還是以提告的人的身分去告發對方？</t>
        </is>
      </c>
      <c r="V23" s="33" t="inlineStr">
        <is>
          <t>對方後來做了哪些付款、交付或其他處分？</t>
        </is>
      </c>
      <c r="X23" s="33" t="n"/>
      <c r="Y23" s="33" t="n"/>
      <c r="AD23" s="33" t="n"/>
    </row>
    <row r="24" ht="181.5" customHeight="1" s="683">
      <c r="C24" s="33" t="inlineStr">
        <is>
          <t>你所做的動作與對方受傷之間，你知道哪些情況？</t>
        </is>
      </c>
      <c r="D24" s="33" t="inlineStr">
        <is>
          <t>你取得該物品後，打算如何處理？</t>
        </is>
      </c>
      <c r="E24" s="33" t="inlineStr">
        <is>
          <t>你後來如何保管、使用或處理該物品？</t>
        </is>
      </c>
      <c r="F24" s="33" t="inlineStr">
        <is>
          <t>你是否知道該物品後來是否仍可正常使用？</t>
        </is>
      </c>
      <c r="G24" s="782" t="inlineStr">
        <is>
          <t>你登入後曾查看、變更或處理哪些資料？</t>
        </is>
      </c>
      <c r="H24" s="33" t="inlineStr">
        <is>
          <t>你表達該內容前查證了哪些資料？</t>
        </is>
      </c>
      <c r="I24" s="33" t="inlineStr">
        <is>
          <t>你當時希望對方做或不做什麼？</t>
        </is>
      </c>
      <c r="K24" s="33" t="inlineStr">
        <is>
          <t>有人靠近時對方是否立即停止或躲避？</t>
        </is>
      </c>
      <c r="L24" s="782" t="inlineStr">
        <is>
          <t>警方進行檢測前後告知了哪些事項？</t>
        </is>
      </c>
      <c r="N24" s="782" t="inlineStr">
        <is>
          <t>請說明你取得該物質的方式及原本用途。</t>
        </is>
      </c>
      <c r="Q24" s="33" t="inlineStr">
        <is>
          <t>你動手之前，對方跟你說了什麼？你是因為被攔下來生氣，還是之前就有私人恩怨？</t>
        </is>
      </c>
      <c r="R24" s="33" t="inlineStr">
        <is>
          <t>你是否曾提供或使用該文件？請說明經過。</t>
        </is>
      </c>
      <c r="T24" s="33" t="inlineStr">
        <is>
          <t>你是自己走進地檢署或警察局提告，還是被通知去作證才去的？</t>
        </is>
      </c>
      <c r="V24" s="33" t="inlineStr">
        <is>
          <t>請說明你知道的款項、帳戶、時間及交易方式。</t>
        </is>
      </c>
      <c r="X24" s="33" t="n"/>
      <c r="Y24" s="33" t="n"/>
      <c r="AD24" s="33" t="n"/>
    </row>
    <row r="25" ht="165" customHeight="1" s="683">
      <c r="C25" s="33" t="n"/>
      <c r="D25" s="33" t="n"/>
      <c r="E25" s="33" t="n"/>
      <c r="F25" s="33" t="n"/>
      <c r="H25" s="33" t="n"/>
      <c r="I25" s="33" t="n"/>
      <c r="K25" s="33" t="n"/>
      <c r="Q25" s="33" t="n"/>
      <c r="R25" s="33" t="n"/>
      <c r="T25" s="33" t="n"/>
      <c r="V25" s="33" t="n"/>
      <c r="X25" s="33" t="n"/>
      <c r="Y25" s="33" t="n"/>
      <c r="AD25" s="33" t="n"/>
    </row>
    <row r="26" ht="198" customHeight="1" s="683">
      <c r="C26" s="33" t="n"/>
      <c r="D26" s="33" t="n"/>
      <c r="H26" s="33" t="n"/>
      <c r="I26" s="33" t="n"/>
      <c r="K26" s="33" t="n"/>
      <c r="Q26" s="33" t="n"/>
      <c r="T26" s="33" t="n"/>
      <c r="V26" s="33" t="n"/>
      <c r="X26" s="33" t="n"/>
      <c r="Y26" s="33" t="n"/>
      <c r="AD26" s="33" t="n"/>
    </row>
    <row r="27" ht="115.5" customHeight="1" s="683">
      <c r="C27" s="33" t="n"/>
      <c r="D27" s="33" t="n"/>
      <c r="H27" s="33" t="n"/>
      <c r="I27" s="33" t="n"/>
      <c r="K27" s="33" t="n"/>
      <c r="Q27" s="33" t="n"/>
      <c r="T27" s="33" t="n"/>
      <c r="V27" s="33" t="n"/>
      <c r="X27" s="33" t="n"/>
    </row>
    <row r="28" ht="165" customHeight="1" s="683">
      <c r="C28" s="33" t="n"/>
      <c r="D28" s="33" t="n"/>
      <c r="H28" s="33" t="n"/>
      <c r="I28" s="33" t="n"/>
      <c r="K28" s="33" t="n"/>
      <c r="Q28" s="33" t="n"/>
      <c r="T28" s="33" t="n"/>
      <c r="V28" s="33" t="n"/>
      <c r="X28" s="33" t="n"/>
    </row>
    <row r="29" ht="198" customHeight="1" s="683">
      <c r="C29" s="33" t="n"/>
      <c r="D29" s="33" t="n"/>
      <c r="H29" s="33" t="n"/>
      <c r="I29" s="33" t="n"/>
      <c r="K29" s="33" t="n"/>
      <c r="Q29" s="33" t="n"/>
      <c r="T29" s="33" t="n"/>
      <c r="V29" s="33" t="n"/>
      <c r="X29" s="33" t="n"/>
    </row>
    <row r="30" ht="148.5" customHeight="1" s="683">
      <c r="C30" s="33" t="n"/>
      <c r="D30" s="33" t="n"/>
      <c r="H30" s="33" t="n"/>
      <c r="I30" s="33" t="n"/>
      <c r="K30" s="33" t="n"/>
      <c r="Q30" s="33" t="n"/>
      <c r="T30" s="33" t="n"/>
      <c r="V30" s="33" t="n"/>
      <c r="X30" s="33" t="n"/>
    </row>
    <row r="31" ht="214.5" customHeight="1" s="683">
      <c r="C31" s="33" t="n"/>
      <c r="D31" s="33" t="n"/>
      <c r="H31" s="574" t="n"/>
      <c r="I31" s="33" t="n"/>
      <c r="Q31" s="33" t="n"/>
      <c r="V31" s="574" t="n"/>
      <c r="X31" s="33" t="n"/>
    </row>
    <row r="32" ht="231" customHeight="1" s="683">
      <c r="C32" s="33" t="n"/>
      <c r="D32" s="33" t="n"/>
      <c r="H32" s="574" t="n"/>
      <c r="I32" s="33" t="n"/>
      <c r="Q32" s="33" t="n"/>
      <c r="V32" s="33" t="n"/>
      <c r="X32" s="33" t="n"/>
    </row>
    <row r="33" ht="148.5" customHeight="1" s="683">
      <c r="C33" s="33" t="n"/>
      <c r="D33" s="33" t="n"/>
      <c r="H33" s="33" t="n"/>
      <c r="I33" s="33" t="n"/>
      <c r="Q33" s="33" t="n"/>
      <c r="V33" s="33" t="n"/>
      <c r="X33" s="33" t="n"/>
    </row>
    <row r="34" ht="165" customHeight="1" s="683">
      <c r="C34" s="574" t="n"/>
      <c r="D34" s="33" t="n"/>
      <c r="H34" s="33" t="n"/>
      <c r="I34" s="33" t="n"/>
      <c r="Q34" s="33" t="n"/>
      <c r="V34" s="33" t="n"/>
      <c r="X34" s="33" t="n"/>
    </row>
    <row r="35" ht="132" customHeight="1" s="683">
      <c r="C35" s="33" t="n"/>
      <c r="D35" s="33" t="n"/>
      <c r="I35" s="33" t="n"/>
      <c r="V35" s="33" t="n"/>
    </row>
    <row r="36" ht="148.5" customHeight="1" s="683">
      <c r="C36" s="33" t="n"/>
      <c r="D36" s="33" t="n"/>
      <c r="I36" s="33" t="n"/>
      <c r="V36" s="33" t="n"/>
    </row>
    <row r="37" ht="115.5" customHeight="1" s="683">
      <c r="C37" s="33" t="n"/>
      <c r="D37" s="33" t="n"/>
      <c r="I37" s="33" t="n"/>
    </row>
    <row r="38" ht="82.5" customHeight="1" s="683">
      <c r="C38" s="33" t="n"/>
      <c r="D38" s="33" t="n"/>
    </row>
    <row r="39" ht="148.5" customHeight="1" s="683">
      <c r="C39" s="33" t="n"/>
      <c r="D39" s="33" t="n"/>
    </row>
    <row r="40" ht="115.5" customHeight="1" s="683">
      <c r="C40" s="33" t="n"/>
      <c r="D40" s="33" t="n"/>
    </row>
    <row r="41" ht="132" customHeight="1" s="683">
      <c r="C41" s="33" t="n"/>
      <c r="D41" s="574" t="n"/>
    </row>
    <row r="42" ht="82.5" customHeight="1" s="683">
      <c r="C42" s="33" t="n"/>
      <c r="D42" s="33" t="n"/>
    </row>
    <row r="43" ht="132" customHeight="1" s="683">
      <c r="C43" s="33" t="n"/>
      <c r="D43" s="33" t="n"/>
    </row>
    <row r="44" ht="132" customHeight="1" s="683">
      <c r="C44" s="33" t="n"/>
      <c r="D44" s="574" t="n"/>
    </row>
    <row r="45" ht="132" customHeight="1" s="683">
      <c r="C45" s="33" t="n"/>
      <c r="D45" s="33" t="n"/>
    </row>
    <row r="46" ht="115.5" customHeight="1" s="683">
      <c r="C46" s="33" t="n"/>
      <c r="D46" s="574" t="n"/>
    </row>
    <row r="47" ht="99" customHeight="1" s="683">
      <c r="C47" s="33" t="n"/>
      <c r="D47" s="33" t="n"/>
    </row>
    <row r="48" ht="165" customHeight="1" s="683">
      <c r="C48" s="33" t="n"/>
    </row>
    <row r="49" ht="82.5" customHeight="1" s="683">
      <c r="C49" s="33" t="n"/>
    </row>
    <row r="50" ht="165" customHeight="1" s="683">
      <c r="C50" s="574" t="n"/>
    </row>
    <row r="51" ht="132" customHeight="1" s="683">
      <c r="C51" s="33" t="n"/>
    </row>
    <row r="52" ht="115.5" customHeight="1" s="683">
      <c r="C52" s="33" t="n"/>
    </row>
    <row r="53" ht="99" customHeight="1" s="683">
      <c r="C53" s="33" t="n"/>
    </row>
    <row r="54" ht="115.5" customHeight="1" s="683">
      <c r="C54" s="33" t="n"/>
    </row>
    <row r="55" ht="165" customHeight="1" s="683">
      <c r="A55" s="33" t="inlineStr">
        <is>
          <t>你上述年籍資料是否正確？是否為你本人？有無攜帶身分證明文件?</t>
        </is>
      </c>
      <c r="B55" s="33" t="n"/>
      <c r="J55" s="33" t="inlineStr">
        <is>
          <t>你是否確定要撤回告訴？是什麼原因讓你這樣決定？</t>
        </is>
      </c>
      <c r="U55" s="33" t="n"/>
      <c r="W55" s="33" t="n"/>
    </row>
    <row r="56" ht="165" customHeight="1" s="683">
      <c r="A56" s="33" t="inlineStr">
        <is>
          <t>警方所告知之罪名及權利你是否清楚？你有無刑案紀錄？</t>
        </is>
      </c>
      <c r="B56" s="33" t="n"/>
      <c r="J56" s="33" t="inlineStr">
        <is>
          <t>如果對方願意和解或接受調解，你願不願意接受？</t>
        </is>
      </c>
      <c r="U56" s="33" t="n"/>
      <c r="W56" s="33" t="n"/>
    </row>
    <row r="57" ht="148.5" customHeight="1" s="683">
      <c r="A57" s="33" t="n"/>
      <c r="B57" s="33" t="n"/>
      <c r="U57" s="33" t="n"/>
      <c r="W57" s="33" t="n"/>
    </row>
    <row r="58" ht="148.5" customHeight="1" s="683">
      <c r="B58" s="33" t="n"/>
      <c r="U58" s="33" t="n"/>
      <c r="W58" s="33" t="n"/>
    </row>
    <row r="59" ht="82.5" customHeight="1" s="683">
      <c r="W59" s="33" t="n"/>
    </row>
    <row r="60" ht="82.5" customHeight="1" s="683">
      <c r="W60" s="33" t="n"/>
    </row>
    <row r="61" ht="82.5" customHeight="1" s="683">
      <c r="W61" s="33" t="n"/>
    </row>
    <row r="62" ht="82.5" customHeight="1" s="683">
      <c r="W62" s="33" t="n"/>
    </row>
  </sheetData>
  <pageMargins left="0.7" right="0.7" top="0.75" bottom="0.75" header="0.3" footer="0.3"/>
</worksheet>
</file>

<file path=xl/worksheets/sheet49.xml><?xml version="1.0" encoding="utf-8"?>
<worksheet xmlns="http://schemas.openxmlformats.org/spreadsheetml/2006/main">
  <sheetPr codeName="工作表53">
    <outlinePr summaryBelow="1" summaryRight="1"/>
    <pageSetUpPr/>
  </sheetPr>
  <dimension ref="A1:AG26"/>
  <sheetViews>
    <sheetView workbookViewId="0">
      <selection activeCell="A8" sqref="A8"/>
    </sheetView>
  </sheetViews>
  <sheetFormatPr baseColWidth="8" defaultRowHeight="16.5"/>
  <cols>
    <col width="55" customWidth="1" style="683" min="6" max="33"/>
  </cols>
  <sheetData>
    <row r="1" ht="19.5" customHeight="1" s="683">
      <c r="A1" s="324" t="inlineStr">
        <is>
          <t>通用</t>
        </is>
      </c>
      <c r="B1" s="324" t="inlineStr">
        <is>
          <t>證人通用</t>
        </is>
      </c>
      <c r="C1" s="913" t="inlineStr">
        <is>
          <t>刑事相驗</t>
        </is>
      </c>
      <c r="D1" s="782" t="inlineStr">
        <is>
          <t>詐欺</t>
        </is>
      </c>
      <c r="E1" s="782" t="inlineStr">
        <is>
          <t>性騷擾</t>
        </is>
      </c>
      <c r="F1" s="573" t="inlineStr">
        <is>
          <t>竊盜</t>
        </is>
      </c>
      <c r="G1" s="573" t="inlineStr">
        <is>
          <t>傷害</t>
        </is>
      </c>
      <c r="H1" s="573" t="inlineStr">
        <is>
          <t>恐嚇</t>
        </is>
      </c>
      <c r="I1" s="573" t="inlineStr">
        <is>
          <t>侵占</t>
        </is>
      </c>
      <c r="J1" s="573" t="inlineStr">
        <is>
          <t>毀損</t>
        </is>
      </c>
      <c r="K1" s="573" t="inlineStr">
        <is>
          <t>妨害電腦使用</t>
        </is>
      </c>
      <c r="L1" s="573" t="inlineStr">
        <is>
          <t>妨害名譽</t>
        </is>
      </c>
      <c r="M1" s="573" t="inlineStr">
        <is>
          <t>妨害自由</t>
        </is>
      </c>
      <c r="N1" s="573" t="inlineStr">
        <is>
          <t>偽造文書</t>
        </is>
      </c>
      <c r="O1" s="573" t="inlineStr">
        <is>
          <t>毒品危害防制條例</t>
        </is>
      </c>
      <c r="P1" s="573" t="inlineStr">
        <is>
          <t>妨害秩序</t>
        </is>
      </c>
      <c r="Q1" s="573" t="inlineStr">
        <is>
          <t>跟蹤騷擾</t>
        </is>
      </c>
      <c r="R1" s="573" t="inlineStr">
        <is>
          <t>誣告</t>
        </is>
      </c>
      <c r="S1" s="573" t="inlineStr">
        <is>
          <t>性騷擾防治法</t>
        </is>
      </c>
      <c r="T1" s="573" t="inlineStr">
        <is>
          <t>公共危險</t>
        </is>
      </c>
      <c r="U1" s="573" t="inlineStr">
        <is>
          <t>通緝</t>
        </is>
      </c>
      <c r="V1" s="573" t="inlineStr">
        <is>
          <t>逃逸外勞</t>
        </is>
      </c>
      <c r="W1" s="573" t="inlineStr">
        <is>
          <t>違反保護令</t>
        </is>
      </c>
      <c r="X1" s="573" t="inlineStr">
        <is>
          <t>AI_妨害性自主</t>
        </is>
      </c>
      <c r="Y1" s="573" t="inlineStr">
        <is>
          <t>AI_兒少性剝削</t>
        </is>
      </c>
      <c r="Z1" s="573" t="inlineStr">
        <is>
          <t>AI_圖利賄賂</t>
        </is>
      </c>
      <c r="AA1" s="573" t="inlineStr">
        <is>
          <t>AI_少年事件</t>
        </is>
      </c>
      <c r="AB1" s="573" t="inlineStr">
        <is>
          <t>AI_賭博</t>
        </is>
      </c>
      <c r="AC1" s="573" t="inlineStr">
        <is>
          <t>AI_公然猥褻</t>
        </is>
      </c>
      <c r="AD1" s="573" t="inlineStr">
        <is>
          <t>AI_槍砲</t>
        </is>
      </c>
      <c r="AE1" s="573" t="inlineStr">
        <is>
          <t>過失傷害</t>
        </is>
      </c>
      <c r="AF1" s="573" t="inlineStr">
        <is>
          <t>AI_毒品危害</t>
        </is>
      </c>
      <c r="AG1" s="573" t="inlineStr">
        <is>
          <t>AI_妨害公務</t>
        </is>
      </c>
    </row>
    <row r="2" ht="17.25" customHeight="1" s="683">
      <c r="A2" s="239" t="inlineStr">
        <is>
          <t>你向警方表示你係為美國人士，請問你的中文聽、說、讀、寫能力如何？</t>
        </is>
      </c>
      <c r="B2" s="236" t="inlineStr">
        <is>
          <t>你與被害人為何種關係？如何認識？</t>
        </is>
      </c>
      <c r="C2" s="593" t="inlineStr">
        <is>
          <t>你上述年籍資料是否正確？是否為你本人？有無攜帶身分證明文件?</t>
        </is>
      </c>
      <c r="E2" s="782" t="inlineStr">
        <is>
          <t>真實姓名對照表內之資料是否正確？是否為你本人？</t>
        </is>
      </c>
    </row>
    <row r="3">
      <c r="A3" s="236" t="inlineStr">
        <is>
          <t>你上述年籍資料是否正確？是否為你本人？有無攜帶身分證明文件?</t>
        </is>
      </c>
      <c r="B3" s="236">
        <f>CONCATENATE("當被害人遭",呈報單!$G$15,"時，你是否在場？請說明事情過程？")</f>
        <v/>
      </c>
      <c r="C3" s="593">
        <f>CONCATENATE("你今(",MID(輸入!$C$10,6,2),")日因何事接受警方製作筆錄？")</f>
        <v/>
      </c>
      <c r="E3" s="782" t="inlineStr">
        <is>
          <t>你的文書送達地址為何？</t>
        </is>
      </c>
    </row>
    <row r="4">
      <c r="A4" s="236" t="inlineStr">
        <is>
          <t>是否知道對方年籍資料、聯絡方式？與對方是否認識？有無仇恨或糾紛？</t>
        </is>
      </c>
      <c r="B4" s="236">
        <f>CONCATENATE("你今(",MID(輸入!$C$10,6,2),")日因何事接受警方製作筆錄？")</f>
        <v/>
      </c>
      <c r="C4" s="593">
        <f>CONCATENATE("你於何時、何地、如何發現",輸入!$B$17,"狀況？過程為何？請詳述之。")</f>
        <v/>
      </c>
      <c r="E4" s="782" t="inlineStr">
        <is>
          <t>〈代號〉-〈代號〉號姓名對照表(彌封)之年籍資料是否正確？是否為你本人？</t>
        </is>
      </c>
    </row>
    <row r="5" ht="20.25" customHeight="1" s="683">
      <c r="A5" s="239" t="inlineStr">
        <is>
          <t>上述所說是否實在？有無其他意見補充？</t>
        </is>
      </c>
      <c r="B5" s="236" t="inlineStr">
        <is>
          <t>妳與涉嫌人是否認識？何種關係？有無任何仇恨、糾紛？</t>
        </is>
      </c>
      <c r="C5" s="593">
        <f>CONCATENATE("經該",輸入!$L$17,"子送台北馬偕醫院，經醫生於113年1月10日8時30分宣告不治死亡，你是否為真?")</f>
        <v/>
      </c>
      <c r="E5" s="782" t="inlineStr">
        <is>
          <t>本事件發生地的場所主人（管理人）為何人？事件發生後你有無告知該人？該場所主人（管理人）作何處置？（發生在營造物或一般商場之案件，以利調閱相關資料）</t>
        </is>
      </c>
    </row>
    <row r="6">
      <c r="A6" s="236" t="inlineStr">
        <is>
          <t>公司地址為何？現任何職？是否有公司授權委託書？</t>
        </is>
      </c>
      <c r="B6" s="236" t="inlineStr">
        <is>
          <t>你是否知悉使公務員登載不實須負相關責任?</t>
        </is>
      </c>
      <c r="C6" s="593" t="inlineStr">
        <is>
          <t>現場是否留有凶器或打鬥之痕跡？死者身上及現場周遭是否有外傷等明顯非自然痕跡（身上勒痕、環境鞋痕、車痕等）？有無遭翻動財物痕跡？現場是否有監視器？</t>
        </is>
      </c>
      <c r="E6" s="782" t="inlineStr">
        <is>
          <t>你今（6/19）因何事前來派出所製作調查筆錄？</t>
        </is>
      </c>
    </row>
    <row r="7">
      <c r="A7" s="236">
        <f>CONCATENATE("你於",LEFT(下拉用!$J$4,10),"第一次警詢筆錄的陳述是否實在?")</f>
        <v/>
      </c>
      <c r="B7" s="236" t="inlineStr">
        <is>
          <t>對於特定或不特定人士做不實指控或謊報、隱匿實情，致使公務人員於文書登載不實必須擔負法律責任，是否清楚？</t>
        </is>
      </c>
      <c r="C7" s="593">
        <f>CONCATENATE("你與",輸入!$B$17,"是什麼關係？",輸入!$B$17,"之年籍資料、聯絡方式為何？",輸入!$B$17,"有無使用交通工具？使用何交通工具？你瞭解",輸入!$B$17,"生活狀況如何？最近生活有無異常？交友狀況如何？有無與人糾紛或結怨？你瞭解",輸入!$B$17,"家庭狀況如何？")</f>
        <v/>
      </c>
      <c r="E7" s="782" t="inlineStr">
        <is>
          <t>你是否要提出申訴？對何人提出？（如為性別平等工作法可對雇主提出申訴）</t>
        </is>
      </c>
    </row>
    <row r="8">
      <c r="A8" s="236" t="n"/>
      <c r="B8" s="236" t="inlineStr">
        <is>
          <t>請問你是否現為或曾為犯罪嫌疑人之配偶、直系血親、三親等內之旁系血親、二親等內之姻親或家長、家屬者？</t>
        </is>
      </c>
      <c r="C8" s="593">
        <f>CONCATENATE("是否知悉",輸入!$B$17,"有無投保保險？",輸入!$B$17,"經濟來源為何？有無工作？")</f>
        <v/>
      </c>
      <c r="E8" s="782" t="inlineStr">
        <is>
          <t>你於何時、何地遭受行為人實施性騷擾行為？請詳述案發過程</t>
        </is>
      </c>
    </row>
    <row r="9">
      <c r="A9" s="236" t="n"/>
      <c r="B9" s="236" t="inlineStr">
        <is>
          <t>請問你是否與犯罪嫌疑人訂有婚約者？</t>
        </is>
      </c>
      <c r="C9" s="593">
        <f>CONCATENATE(,輸入!$B$17,"身體健康狀況如何？有無疾病纏身？有無生前就醫紀錄？")</f>
        <v/>
      </c>
      <c r="E9" s="782" t="inlineStr">
        <is>
          <t>你現在任職單位的職稱(位)為何？任現職多久？工作內容為何？薪資由何人支應？（釐清性平三法之適用）</t>
        </is>
      </c>
    </row>
    <row r="10">
      <c r="A10" s="236" t="n"/>
      <c r="B10" s="236" t="inlineStr">
        <is>
          <t>請問你是否現為或曾為犯罪嫌疑人之法定代理人或現由或曾由犯罪嫌疑人為其法定代理人者？</t>
        </is>
      </c>
      <c r="C10" s="593">
        <f>CONCATENATE(,輸入!$B$17,"曾有無表示想輕生念頭？有無留下遺書？現場是否留有遺書？")</f>
        <v/>
      </c>
      <c r="E10" s="782" t="inlineStr">
        <is>
          <t>是否領有身心障礙證明？是否經醫囑使用精神藥物？身障類別、鑑定向度及障礙程度為何？</t>
        </is>
      </c>
    </row>
    <row r="11">
      <c r="A11" s="236" t="n"/>
      <c r="B11" s="236" t="inlineStr">
        <is>
          <t>你現在精神狀況如何？是否可以製作筆錄？是否需要家屬或社工到場陪同？</t>
        </is>
      </c>
      <c r="C11" s="593">
        <f>CONCATENATE(,輸入!$B$17,"大體目前放置於何處？")</f>
        <v/>
      </c>
      <c r="E11" s="782" t="inlineStr">
        <is>
          <t>你有無因本事件產生焦慮、失眠、惡夢、食慾不振等情況？</t>
        </is>
      </c>
    </row>
    <row r="12" ht="165" customHeight="1" s="683">
      <c r="A12" s="593" t="n"/>
      <c r="B12" s="244" t="inlineStr">
        <is>
          <t>是否領有身心障礙證明或經醫囑使用精神藥物？類別、鑑定向度及障礙程度為何？</t>
        </is>
      </c>
      <c r="C12" s="593">
        <f>CONCATENATE("你對於",輸入!$B$17,"之死亡有無任何意見？")</f>
        <v/>
      </c>
      <c r="E12" s="782" t="inlineStr">
        <is>
          <t>你遭行為人實施性騷擾行為，一共發生幾次？或持續多久？</t>
        </is>
      </c>
    </row>
    <row r="13">
      <c r="A13" s="593" t="n"/>
      <c r="B13" s="782" t="inlineStr">
        <is>
          <t>你的文書送達地址為何？</t>
        </is>
      </c>
      <c r="C13" s="453" t="inlineStr">
        <is>
          <t>上述所說是否實在？有無其他意見補充？</t>
        </is>
      </c>
      <c r="E13" s="782" t="inlineStr">
        <is>
          <t>本案你是否曾向雇主或所任職相關單位反映過？其後續處理情形或調查結果為何？你是否接受？（性別平等工作法第32-1條第1項相關申訴規定）</t>
        </is>
      </c>
    </row>
    <row r="14">
      <c r="A14" s="593" t="n"/>
      <c r="B14" s="782" t="n"/>
      <c r="E14" s="782" t="inlineStr">
        <is>
          <t>本事件是否曾經提出申訴或告訴？</t>
        </is>
      </c>
    </row>
    <row r="15">
      <c r="B15" s="782" t="n"/>
      <c r="E15" s="782" t="inlineStr">
        <is>
          <t>本案你是否曾撤回申訴或經調解成立？（性騷擾防治法第14條第4項撤回申訴而再行申訴之規定）</t>
        </is>
      </c>
    </row>
    <row r="16">
      <c r="B16" s="782" t="n"/>
      <c r="E16" s="782" t="inlineStr">
        <is>
          <t>你是否要提出性騷擾罪（性騷擾防治法第25條）或其他刑事告訴？對何人提出？（如提告本罪，須另製作調查筆錄）</t>
        </is>
      </c>
    </row>
    <row r="17">
      <c r="E17" s="782" t="inlineStr">
        <is>
          <t>以上所言是否屬實？有無其他補充意見？</t>
        </is>
      </c>
    </row>
    <row r="18">
      <c r="E18" s="782" t="inlineStr">
        <is>
          <t>以上內容是否為你自由意識下所為之陳述？</t>
        </is>
      </c>
    </row>
    <row r="19" ht="132" customHeight="1" s="683">
      <c r="B19" s="33" t="inlineStr">
        <is>
          <t>事情發生的時候你在現場嗎？你是剛好經過，還是本來就在那裡？</t>
        </is>
      </c>
      <c r="D19" s="33" t="inlineStr">
        <is>
          <t>你有沒有看過對方跟被害人聯絡的過程？是用電話、訊息還是見面？</t>
        </is>
      </c>
      <c r="E19" s="33" t="inlineStr">
        <is>
          <t>事情發生的時候你在現場嗎？你看到了什麼或聽到了什麼？</t>
        </is>
      </c>
    </row>
    <row r="20" ht="115.5" customHeight="1" s="683">
      <c r="B20" s="33" t="inlineStr">
        <is>
          <t>你看到的經過是怎樣的？先發生什麼，後來又發生什麼？</t>
        </is>
      </c>
      <c r="D20" s="33" t="inlineStr">
        <is>
          <t>你知不知道他們之間有金錢往來？金額大概多少？</t>
        </is>
      </c>
      <c r="E20" s="33" t="inlineStr">
        <is>
          <t>被害人當時的反應是怎樣的？有沒有哭、求救或想離開？</t>
        </is>
      </c>
    </row>
    <row r="21" ht="132" customHeight="1" s="683">
      <c r="B21" s="33" t="inlineStr">
        <is>
          <t>你跟兩邊的人認不認識？跟他們有沒有親戚關係或金錢往來？</t>
        </is>
      </c>
      <c r="D21" s="33" t="inlineStr">
        <is>
          <t>被害人後來有沒有跟你提過被騙的事？他是怎麼說的？</t>
        </is>
      </c>
      <c r="E21" s="33" t="inlineStr">
        <is>
          <t>事情發生後，被害人有沒有跟你說過這件事？他希望你怎麼幫他？</t>
        </is>
      </c>
    </row>
    <row r="22" ht="99" customHeight="1" s="683">
      <c r="B22" s="33" t="inlineStr">
        <is>
          <t>警察找你作證之前，有沒有人叫你這樣說或那樣說？</t>
        </is>
      </c>
    </row>
    <row r="23" ht="115.5" customHeight="1" s="683">
      <c r="B23" s="33" t="inlineStr">
        <is>
          <t>你說的這些，有沒有其他人也可以證明？監視器有拍到嗎？</t>
        </is>
      </c>
    </row>
    <row r="24" ht="132" customHeight="1" s="683">
      <c r="D24" s="33" t="inlineStr">
        <is>
          <t>你有沒有看過對方跟被害人聯絡的過程？是用電話、訊息還是見面？</t>
        </is>
      </c>
      <c r="E24" s="33" t="inlineStr">
        <is>
          <t>事情發生的時候你在現場嗎？你看到了什麼或聽到了什麼？</t>
        </is>
      </c>
      <c r="F24" s="33" t="inlineStr">
        <is>
          <t>事情發生的時候你在現場嗎？你有沒有親眼看到是誰拿走東西的？</t>
        </is>
      </c>
      <c r="G24" s="33" t="inlineStr">
        <is>
          <t>你有沒有親眼看到是誰先動手的？當時對方手上有沒有拿東西？</t>
        </is>
      </c>
      <c r="H24" s="33" t="inlineStr">
        <is>
          <t>你有沒有聽到對方說了什麼威脅的話？原話還記得嗎？</t>
        </is>
      </c>
      <c r="I24" s="33" t="inlineStr">
        <is>
          <t>你知不知道東西本來是誰的？是怎麼到對方手上的？</t>
        </is>
      </c>
      <c r="J24" s="33" t="inlineStr">
        <is>
          <t>東西是怎麼壞掉的？你有親眼看到嗎？</t>
        </is>
      </c>
      <c r="K24" s="33" t="inlineStr">
        <is>
          <t>你有沒有看到對方操作手機或電腦的過程？他做了什麼？</t>
        </is>
      </c>
      <c r="L24" s="33" t="inlineStr">
        <is>
          <t>對方是在哪裡講那些話的？你當時在場嗎？還有誰聽到？</t>
        </is>
      </c>
      <c r="M24" s="33" t="inlineStr">
        <is>
          <t>你有沒有看到對方被攔住走不了？當時對方有幾個人？</t>
        </is>
      </c>
      <c r="N24" s="33" t="inlineStr">
        <is>
          <t>你有沒有看過那份文件？上面的簽名你認得是誰寫的嗎？</t>
        </is>
      </c>
      <c r="O24" s="33" t="inlineStr">
        <is>
          <t>警察找到東西的時候你在場嗎？東西是從哪裡拿出來的？</t>
        </is>
      </c>
      <c r="P24" s="33" t="inlineStr">
        <is>
          <t>打架的時候你在現場嗎？總共有多少人動手？</t>
        </is>
      </c>
      <c r="Q24" s="33" t="inlineStr">
        <is>
          <t>你有沒有看過對方跟著被害人或一直打電話傳訊息？發生過幾次？</t>
        </is>
      </c>
      <c r="R24" s="33" t="inlineStr">
        <is>
          <t>你知不知道對方去告人的事？是什麼時候知道的？</t>
        </is>
      </c>
      <c r="S24" s="33" t="inlineStr">
        <is>
          <t>事情發生在什麼地方？你當時在場嗎？還有誰在？</t>
        </is>
      </c>
      <c r="T24" s="33" t="inlineStr">
        <is>
          <t>車禍發生的時候你在現場嗎？你看到了什麼？</t>
        </is>
      </c>
      <c r="U24" s="33" t="inlineStr">
        <is>
          <t>你最後一次看到對方是什麼時候？在哪裡？</t>
        </is>
      </c>
      <c r="V24" s="33" t="inlineStr">
        <is>
          <t>你是在哪裡認識對方的？認識多久了？</t>
        </is>
      </c>
      <c r="W24" s="33" t="inlineStr">
        <is>
          <t>你有沒有看到對方靠近被害人或跟被害人聯絡？什麼時候、在哪裡？</t>
        </is>
      </c>
      <c r="X24" s="33" t="inlineStr">
        <is>
          <t>事情發生的時候你在現場嗎？你看到了什麼或聽到了什麼？</t>
        </is>
      </c>
      <c r="Y24" s="33" t="inlineStr">
        <is>
          <t>你有沒有看過那些照片或影片？是誰拿給你看的？</t>
        </is>
      </c>
      <c r="Z24" s="33" t="inlineStr">
        <is>
          <t>你有沒有看到送錢或收錢的經過？什麼時候、在哪裡？</t>
        </is>
      </c>
      <c r="AA24" s="33" t="inlineStr">
        <is>
          <t>事情發生的時候你在現場嗎？你看到了什麼？</t>
        </is>
      </c>
      <c r="AB24" s="33" t="inlineStr">
        <is>
          <t>你有沒有去過他們玩牌的地方？在哪裡？外面的人進得去嗎？</t>
        </is>
      </c>
      <c r="AC24" s="33" t="inlineStr">
        <is>
          <t>你當時在哪裡看到的？跟對方距離多遠？</t>
        </is>
      </c>
      <c r="AD24" s="33" t="inlineStr">
        <is>
          <t>你有沒有看過那把槍？長什麼樣子？在哪裡看到的？</t>
        </is>
      </c>
      <c r="AE24" s="33" t="inlineStr">
        <is>
          <t>車禍發生的時候你在現場嗎？你看到了什麼？</t>
        </is>
      </c>
      <c r="AF24" s="33" t="inlineStr">
        <is>
          <t>警察找到東西的時候你在場嗎？東西是從哪裡拿出來的？</t>
        </is>
      </c>
      <c r="AG24" s="33" t="inlineStr">
        <is>
          <t>你有沒有看到對方跟警察發生衝突？當時警察在做什麼？</t>
        </is>
      </c>
    </row>
    <row r="25" ht="115.5" customHeight="1" s="683">
      <c r="D25" s="33" t="inlineStr">
        <is>
          <t>你知不知道他們之間有金錢往來？金額大概多少？</t>
        </is>
      </c>
      <c r="E25" s="33" t="inlineStr">
        <is>
          <t>被害人當時的反應是怎樣的？有沒有哭、求救或想離開？</t>
        </is>
      </c>
      <c r="F25" s="33" t="inlineStr">
        <is>
          <t>你跟兩邊的人認不認識？跟他們有沒有金錢往來或糾紛？</t>
        </is>
      </c>
      <c r="G25" s="33" t="inlineStr">
        <is>
          <t>你跟兩邊的人認不認識？事發前他們有沒有吵架？</t>
        </is>
      </c>
      <c r="H25" s="33" t="inlineStr">
        <is>
          <t>被害人當時的反應是怎樣的？有沒有害怕、哭或報警？</t>
        </is>
      </c>
      <c r="I25" s="33" t="inlineStr">
        <is>
          <t>對方後來把東西拿去做了什麼用？你是什麼時候知道的？</t>
        </is>
      </c>
      <c r="J25" s="33" t="inlineStr">
        <is>
          <t>壞掉之前，你有沒有看到誰在那附近？做了什麼？</t>
        </is>
      </c>
      <c r="K25" s="33" t="inlineStr">
        <is>
          <t>那支手機或帳號是誰的？對方有經過同意嗎？</t>
        </is>
      </c>
      <c r="L25" s="33" t="inlineStr">
        <is>
          <t>對方講的內容，你覺得是真的還是假的？你怎麼知道的？</t>
        </is>
      </c>
      <c r="M25" s="33" t="inlineStr">
        <is>
          <t>被留下來的人有沒有求救或想離開？你看到了嗎？</t>
        </is>
      </c>
      <c r="N25" s="33" t="inlineStr">
        <is>
          <t>簽文件的時候你在場嗎？本人有沒有答應？</t>
        </is>
      </c>
      <c r="O25" s="33" t="inlineStr">
        <is>
          <t>你知不知道那些東西是誰的？放在那裡多久了？</t>
        </is>
      </c>
      <c r="P25" s="33" t="inlineStr">
        <is>
          <t>他們是約好要打，還是臨時吵起來的？你看到的起因是什麼？</t>
        </is>
      </c>
      <c r="Q25" s="33" t="inlineStr">
        <is>
          <t>被害人有沒有跟你抱怨過這件事？他看起來害怕嗎？</t>
        </is>
      </c>
      <c r="R25" s="33" t="inlineStr">
        <is>
          <t>對方告的內容，你覺得是真的還是假的？你怎麼知道的？</t>
        </is>
      </c>
      <c r="S25" s="33" t="inlineStr">
        <is>
          <t>你看到對方做了什麼？持續了多久？</t>
        </is>
      </c>
      <c r="T25" s="33" t="inlineStr">
        <is>
          <t>對方開車的樣子正常嗎？車速快不快？有沒有煞車？</t>
        </is>
      </c>
      <c r="U25" s="33" t="inlineStr">
        <is>
          <t>你知不知道對方為什麼躲起來？他有跟你提過嗎？</t>
        </is>
      </c>
      <c r="V25" s="33" t="inlineStr">
        <is>
          <t>對方有沒有跟你提過證件或工作的事？他怎麼說的？</t>
        </is>
      </c>
      <c r="W25" s="33" t="inlineStr">
        <is>
          <t>你知不知道法院有規定對方不能這樣做？</t>
        </is>
      </c>
      <c r="X25" s="33" t="inlineStr">
        <is>
          <t>被害人當時的反應是怎樣的？有沒有哭、求救或想離開？</t>
        </is>
      </c>
      <c r="Y25" s="33" t="inlineStr">
        <is>
          <t>拍照的人幾歲？被拍的人幾歲？你怎麼知道的？</t>
        </is>
      </c>
      <c r="Z25" s="33" t="inlineStr">
        <is>
          <t>送錢跟收錢的人是什麼關係？你怎麼認識他們的？</t>
        </is>
      </c>
      <c r="AA25" s="33" t="inlineStr">
        <is>
          <t xml:space="preserve"> involved 的孩子幾歲？你認不認識他和他的家人？</t>
        </is>
      </c>
      <c r="AB25" s="33" t="inlineStr">
        <is>
          <t>一局輸贏大概多少？桌上通常有多少錢？</t>
        </is>
      </c>
      <c r="AC25" s="33" t="inlineStr">
        <is>
          <t>對方做了什麼？你看了多久？旁邊還有別人看到嗎？</t>
        </is>
      </c>
      <c r="AD25" s="33" t="inlineStr">
        <is>
          <t>對方有沒有開過槍或拿出來嚇人？當時還有誰在？</t>
        </is>
      </c>
      <c r="AE25" s="33" t="inlineStr">
        <is>
          <t>對方開車的樣子正常嗎？車速快不快？有沒有煞車？</t>
        </is>
      </c>
      <c r="AF25" s="33" t="inlineStr">
        <is>
          <t>你知不知道那些東西是誰的？放在那裡多久了？</t>
        </is>
      </c>
      <c r="AG25" s="33" t="inlineStr">
        <is>
          <t>對方做了什麼動作？有推打警察還是只有用說的？</t>
        </is>
      </c>
    </row>
    <row r="26" ht="132" customHeight="1" s="683">
      <c r="D26" s="33" t="inlineStr">
        <is>
          <t>被害人後來有沒有跟你提過被騙的事？他是怎麼說的？</t>
        </is>
      </c>
      <c r="E26" s="33" t="inlineStr">
        <is>
          <t>事情發生後，被害人有沒有跟你說過這件事？他希望你怎麼幫他？</t>
        </is>
      </c>
      <c r="F26" s="33" t="inlineStr">
        <is>
          <t>除了你看到的，還有沒有監視器或其他人可以證明？</t>
        </is>
      </c>
      <c r="G26" s="33" t="inlineStr">
        <is>
          <t>被害人受傷之後是誰叫救護車的？現場還有沒有其他人看到？</t>
        </is>
      </c>
      <c r="H26" s="33" t="inlineStr">
        <is>
          <t>你跟兩邊的人認不認識？他們之前有什麼糾紛？</t>
        </is>
      </c>
      <c r="I26" s="33" t="inlineStr">
        <is>
          <t>你跟兩邊的人認不認識？有無金錢往來？</t>
        </is>
      </c>
      <c r="J26" s="33" t="inlineStr">
        <is>
          <t>你跟兩邊的人認不認識？他們之前有糾紛嗎？</t>
        </is>
      </c>
      <c r="K26" s="33" t="inlineStr">
        <is>
          <t>你跟兩邊的人認不認識？有無其他人也看到？</t>
        </is>
      </c>
      <c r="L26" s="33" t="inlineStr">
        <is>
          <t>你跟兩邊的人認不認識？他們之前有什麼糾紛？</t>
        </is>
      </c>
      <c r="M26" s="33" t="inlineStr">
        <is>
          <t>這件事持續了多久？你後來有沒有報警？</t>
        </is>
      </c>
      <c r="N26" s="33" t="inlineStr">
        <is>
          <t>你跟兩邊的人認不認識？有無金錢往來？</t>
        </is>
      </c>
      <c r="O26" s="33" t="inlineStr">
        <is>
          <t>你跟對方認不認識？有無其他人也看過這些東西？</t>
        </is>
      </c>
      <c r="P26" s="33" t="inlineStr">
        <is>
          <t>現場有沒有人受傷？後來是怎麼散開的？</t>
        </is>
      </c>
      <c r="Q26" s="33" t="inlineStr">
        <is>
          <t>你跟兩邊的人認不認識？他們之前是什麼關係？</t>
        </is>
      </c>
      <c r="R26" s="33" t="inlineStr">
        <is>
          <t>你跟兩邊的人認不認識？他們之前有什麼糾紛？</t>
        </is>
      </c>
      <c r="S26" s="33" t="inlineStr">
        <is>
          <t>被害人事後有沒有跟主管或老師說？你知道後續怎麼處理的嗎？</t>
        </is>
      </c>
      <c r="T26" s="33" t="inlineStr">
        <is>
          <t>撞到之後，對方有停下來嗎？還是直接開走了？</t>
        </is>
      </c>
      <c r="U26" s="33" t="inlineStr">
        <is>
          <t>對方有沒有跟你聯絡？用什麼方式？</t>
        </is>
      </c>
      <c r="V26" s="33" t="inlineStr">
        <is>
          <t>對方現在住哪裡？平常都在哪裡出沒？</t>
        </is>
      </c>
      <c r="W26" s="33" t="inlineStr">
        <is>
          <t>被害人當時有什麼反應？有報警嗎？</t>
        </is>
      </c>
      <c r="X26" s="33" t="inlineStr">
        <is>
          <t>事情發生後，被害人有沒有跟你說過？你跟兩邊認不認識？</t>
        </is>
      </c>
      <c r="Y26" s="33" t="inlineStr">
        <is>
          <t>你跟兩邊的人認不認識？這件事還有誰知道？</t>
        </is>
      </c>
      <c r="Z26" s="33" t="inlineStr">
        <is>
          <t>除了你看到的，還有沒有其他人看到或有紀錄可以證明？</t>
        </is>
      </c>
      <c r="AA26" s="33" t="inlineStr">
        <is>
          <t>孩子的爸爸媽媽知不知道這件事？警察問話時他們有在場嗎？</t>
        </is>
      </c>
      <c r="AB26" s="33" t="inlineStr">
        <is>
          <t>來玩的都是些什麼人？多久聚一次？有沒有人抽錢？</t>
        </is>
      </c>
      <c r="AC26" s="33" t="inlineStr">
        <is>
          <t>有人報警嗎？你跟對方認不認識？</t>
        </is>
      </c>
      <c r="AD26" s="33" t="inlineStr">
        <is>
          <t>除了槍，你還有沒有看過子彈或零件？你跟對方怎麼認識的？</t>
        </is>
      </c>
      <c r="AE26" s="33" t="inlineStr">
        <is>
          <t>撞到之後雙方做了什麼？有報警或叫救護車嗎？</t>
        </is>
      </c>
      <c r="AF26" s="33" t="inlineStr">
        <is>
          <t>旁邊有沒有磅秤、分裝袋之類的東西？你有看過誰在使用嗎？</t>
        </is>
      </c>
      <c r="AG26" s="33" t="inlineStr">
        <is>
          <t>警察當時穿著制服或表明身分嗎？你看得到嗎？</t>
        </is>
      </c>
    </row>
  </sheetData>
  <pageMargins left="0.7" right="0.7" top="0.75" bottom="0.75" header="0.3" footer="0.3"/>
</worksheet>
</file>

<file path=xl/worksheets/sheet50.xml><?xml version="1.0" encoding="utf-8"?>
<worksheet xmlns="http://schemas.openxmlformats.org/spreadsheetml/2006/main">
  <sheetPr codeName="工作表28">
    <outlinePr summaryBelow="1" summaryRight="1"/>
    <pageSetUpPr/>
  </sheetPr>
  <dimension ref="A1:T2"/>
  <sheetViews>
    <sheetView workbookViewId="0">
      <selection activeCell="H2" sqref="H2"/>
    </sheetView>
  </sheetViews>
  <sheetFormatPr baseColWidth="8" defaultRowHeight="16.5"/>
  <cols>
    <col width="6.25" customWidth="1" style="593" min="1" max="1"/>
    <col width="6.625" customWidth="1" style="593" min="2" max="2"/>
    <col width="9" customWidth="1" style="593" min="3" max="3"/>
    <col width="8.75" customWidth="1" style="593" min="4" max="4"/>
    <col width="8" customWidth="1" style="593" min="5" max="5"/>
    <col width="14.25" customWidth="1" style="593" min="6" max="6"/>
    <col width="10.875" customWidth="1" style="593" min="7" max="8"/>
    <col width="13.125" customWidth="1" style="593" min="9" max="9"/>
    <col width="7.5" customWidth="1" style="593" min="10" max="10"/>
    <col width="8.625" customWidth="1" style="593" min="11" max="11"/>
    <col width="4.875" customWidth="1" style="593" min="12" max="12"/>
    <col width="10.875" customWidth="1" style="593" min="13" max="13"/>
    <col width="9" customWidth="1" style="593" min="14" max="15"/>
    <col width="8.875" customWidth="1" style="593" min="16" max="16"/>
    <col width="8.5" customWidth="1" style="593" min="17" max="17"/>
    <col width="11.75" customWidth="1" style="593" min="18" max="18"/>
    <col width="9" customWidth="1" style="593" min="19" max="19"/>
    <col width="18" customWidth="1" style="593" min="20" max="20"/>
    <col width="8.375" customWidth="1" style="593" min="21" max="21"/>
    <col width="9" customWidth="1" style="593" min="22" max="23"/>
    <col width="9" customWidth="1" style="593" min="24" max="16384"/>
  </cols>
  <sheetData>
    <row r="1" ht="18" customHeight="1" s="683">
      <c r="A1" s="44" t="inlineStr">
        <is>
          <t>年</t>
        </is>
      </c>
      <c r="B1" s="44" t="inlineStr">
        <is>
          <t>月</t>
        </is>
      </c>
      <c r="C1" s="44" t="inlineStr">
        <is>
          <t>警局</t>
        </is>
      </c>
      <c r="D1" s="44" t="inlineStr">
        <is>
          <t>分局</t>
        </is>
      </c>
      <c r="E1" s="44" t="inlineStr">
        <is>
          <t>派出所</t>
        </is>
      </c>
      <c r="F1" s="44" t="inlineStr">
        <is>
          <t>案由</t>
        </is>
      </c>
      <c r="G1" s="45" t="inlineStr">
        <is>
          <t>發生時間</t>
        </is>
      </c>
      <c r="H1" s="581" t="inlineStr">
        <is>
          <t>發生地點</t>
        </is>
      </c>
      <c r="I1" s="581" t="inlineStr">
        <is>
          <t>取照地點</t>
        </is>
      </c>
      <c r="J1" s="581">
        <f>輸入!S24</f>
        <v/>
      </c>
      <c r="K1" s="593" t="inlineStr">
        <is>
          <t>機關全名</t>
        </is>
      </c>
      <c r="L1" s="593" t="inlineStr">
        <is>
          <t>單位</t>
        </is>
      </c>
      <c r="M1" s="593" t="inlineStr">
        <is>
          <t>機關地址</t>
        </is>
      </c>
      <c r="N1" s="593" t="inlineStr">
        <is>
          <t>聯絡人</t>
        </is>
      </c>
      <c r="O1" s="593" t="inlineStr">
        <is>
          <t>聯絡電話</t>
        </is>
      </c>
      <c r="P1" s="593" t="inlineStr">
        <is>
          <t>發文日期</t>
        </is>
      </c>
      <c r="Q1" s="593" t="inlineStr">
        <is>
          <t>發文字號</t>
        </is>
      </c>
      <c r="R1" s="913" t="inlineStr">
        <is>
          <t>報案時間</t>
        </is>
      </c>
      <c r="S1" s="593" t="inlineStr">
        <is>
          <t>犯案地點</t>
        </is>
      </c>
      <c r="T1" s="593" t="inlineStr">
        <is>
          <t>發生時間</t>
        </is>
      </c>
    </row>
    <row r="2">
      <c r="A2" s="577">
        <f>LEFT(輸入!$C$10,3)</f>
        <v/>
      </c>
      <c r="B2" s="577">
        <f>MID(輸入!$C$10,4,2)</f>
        <v/>
      </c>
      <c r="C2" s="577">
        <f>輸入!$S$18</f>
        <v/>
      </c>
      <c r="D2" s="577">
        <f>CONCATENATE(輸入!$S$19,輸入!$T$19)</f>
        <v/>
      </c>
      <c r="E2" s="577">
        <f>輸入!$S$20</f>
        <v/>
      </c>
      <c r="F2" s="577">
        <f>CONCATENATE(,word用!$H$2,"遭",呈報單!$G$15,"案")</f>
        <v/>
      </c>
      <c r="G2" s="42">
        <f>下拉用!$J$6</f>
        <v/>
      </c>
      <c r="H2" s="42">
        <f>輸入!$C$7</f>
        <v/>
      </c>
      <c r="I2" s="42">
        <f>輸入!$S$23</f>
        <v/>
      </c>
      <c r="J2" s="42">
        <f>輸入!$U$24</f>
        <v/>
      </c>
      <c r="K2" s="778">
        <f>CONCATENATE(輸入!$S$18,輸入!$T$18,輸入!$S$19,輸入!$T$19)</f>
        <v/>
      </c>
      <c r="L2" s="778">
        <f>CONCATENATE(,輸入!$S$20,輸入!$T$20)</f>
        <v/>
      </c>
      <c r="M2" s="593">
        <f>輸入!$S$23</f>
        <v/>
      </c>
      <c r="N2" s="593">
        <f>輸入!$O$8</f>
        <v/>
      </c>
      <c r="O2" s="593">
        <f>輸入!$T$21</f>
        <v/>
      </c>
      <c r="P2" s="593">
        <f>CONCATENATE("中華民國",LEFT(下拉用!$J$9,10))</f>
        <v/>
      </c>
      <c r="Q2" s="593">
        <f>CONCATENATE(輸入!$S$19,LEFT(輸入!$S$20,1),"字第",輸入!$C$10,"號")</f>
        <v/>
      </c>
      <c r="R2" s="593">
        <f>LEFT(下拉用!$J$9,10)</f>
        <v/>
      </c>
      <c r="S2" s="593">
        <f>輸入!$C$7</f>
        <v/>
      </c>
      <c r="T2" s="593">
        <f>LEFT(下拉用!$J$6,13)</f>
        <v/>
      </c>
    </row>
  </sheetData>
  <pageMargins left="0.7" right="0.7" top="0.75" bottom="0.75" header="0.3" footer="0.3"/>
  <pageSetup orientation="portrait" paperSize="9"/>
</worksheet>
</file>

<file path=xl/worksheets/sheet51.xml><?xml version="1.0" encoding="utf-8"?>
<worksheet xmlns="http://schemas.openxmlformats.org/spreadsheetml/2006/main">
  <sheetPr codeName="工作表15">
    <tabColor rgb="FF92D050"/>
    <outlinePr summaryBelow="1" summaryRight="1"/>
    <pageSetUpPr/>
  </sheetPr>
  <dimension ref="A1:V14"/>
  <sheetViews>
    <sheetView view="pageLayout" topLeftCell="A2" zoomScale="85" zoomScaleNormal="100" zoomScalePageLayoutView="85" workbookViewId="0">
      <selection activeCell="Q8" sqref="Q8:V8"/>
    </sheetView>
  </sheetViews>
  <sheetFormatPr baseColWidth="8" defaultColWidth="9" defaultRowHeight="16.5"/>
  <cols>
    <col width="6" customWidth="1" style="683" min="1" max="1"/>
    <col width="4.875" customWidth="1" style="683" min="2" max="3"/>
    <col width="7.875" customWidth="1" style="683" min="4" max="4"/>
    <col width="10.25" customWidth="1" style="683" min="5" max="5"/>
    <col width="10.875" customWidth="1" style="683" min="6" max="6"/>
    <col width="5.5" customWidth="1" style="683" min="7" max="7"/>
    <col width="20.125" customWidth="1" style="683" min="8" max="8"/>
    <col width="4" customWidth="1" style="683" min="9" max="9"/>
    <col width="7.5" customWidth="1" style="683" min="10" max="11"/>
    <col width="6" customWidth="1" style="683" min="12" max="12"/>
    <col width="4.875" customWidth="1" style="683" min="13" max="14"/>
    <col width="8.375" customWidth="1" style="683" min="15" max="15"/>
    <col width="10.25" customWidth="1" style="683" min="16" max="16"/>
    <col width="10.5" customWidth="1" style="683" min="17" max="17"/>
    <col width="5.5" customWidth="1" style="683" min="18" max="18"/>
    <col width="18.125" customWidth="1" style="683" min="19" max="19"/>
    <col width="3" customWidth="1" style="683" min="20" max="20"/>
    <col width="8.375" customWidth="1" style="683" min="21" max="21"/>
    <col width="8.75" customWidth="1" style="683" min="22" max="22"/>
  </cols>
  <sheetData>
    <row r="1" ht="45.75" customHeight="1" s="683" thickBot="1">
      <c r="A1" s="980">
        <f>CONCATENATE(,輸入!$S$19,輸入!$T$19,輸入!$S$20,輸入!$T$20,"酒測密錄器照片")</f>
        <v/>
      </c>
      <c r="L1" s="980">
        <f>CONCATENATE(,輸入!$S$19,輸入!$T$19,輸入!$S$20,輸入!$T$20,"酒測密錄器照片")</f>
        <v/>
      </c>
    </row>
    <row r="2" ht="19.7" customHeight="1" s="683" thickBot="1" thickTop="1">
      <c r="A2" s="1268" t="inlineStr">
        <is>
          <t>案
號</t>
        </is>
      </c>
      <c r="B2" s="1298" t="inlineStr">
        <is>
          <t>年</t>
        </is>
      </c>
      <c r="C2" s="1298" t="inlineStr">
        <is>
          <t>月</t>
        </is>
      </c>
      <c r="D2" s="1298" t="inlineStr">
        <is>
          <t>警局</t>
        </is>
      </c>
      <c r="E2" s="1298" t="inlineStr">
        <is>
          <t>分局</t>
        </is>
      </c>
      <c r="F2" s="464" t="inlineStr">
        <is>
          <t>案次編號</t>
        </is>
      </c>
      <c r="G2" s="131" t="n"/>
      <c r="J2" s="130" t="n"/>
      <c r="K2" s="130" t="n"/>
      <c r="L2" s="1268" t="inlineStr">
        <is>
          <t>案
號</t>
        </is>
      </c>
      <c r="M2" s="1298" t="inlineStr">
        <is>
          <t>年</t>
        </is>
      </c>
      <c r="N2" s="1298" t="inlineStr">
        <is>
          <t>月</t>
        </is>
      </c>
      <c r="O2" s="1298" t="inlineStr">
        <is>
          <t>警局</t>
        </is>
      </c>
      <c r="P2" s="1298" t="inlineStr">
        <is>
          <t>分局</t>
        </is>
      </c>
      <c r="Q2" s="464" t="inlineStr">
        <is>
          <t>案次編號</t>
        </is>
      </c>
      <c r="R2" s="131" t="n"/>
      <c r="U2" s="130" t="n"/>
      <c r="V2" s="130" t="n"/>
    </row>
    <row r="3" ht="19.7" customHeight="1" s="683" thickTop="1">
      <c r="A3" s="1261" t="n"/>
      <c r="B3" s="44">
        <f>LEFT(輸入!$H$5,3)</f>
        <v/>
      </c>
      <c r="C3" s="44">
        <f>MID(輸入!$H$5,4,2)</f>
        <v/>
      </c>
      <c r="D3" s="44">
        <f>輸入!$S$18</f>
        <v/>
      </c>
      <c r="E3" s="129">
        <f>CONCATENATE(,輸入!$S$19,輸入!$T$19)</f>
        <v/>
      </c>
      <c r="F3" s="956" t="n"/>
      <c r="G3" s="128" t="inlineStr">
        <is>
          <t>案由</t>
        </is>
      </c>
      <c r="H3" s="1258">
        <f>CONCATENATE(,word用!$H$2,呈報單!$G$15,"案")</f>
        <v/>
      </c>
      <c r="I3" s="1259" t="n"/>
      <c r="J3" s="1259" t="n"/>
      <c r="K3" s="1158" t="n"/>
      <c r="L3" s="1261" t="n"/>
      <c r="M3" s="44">
        <f>LEFT(輸入!$H$5,3)</f>
        <v/>
      </c>
      <c r="N3" s="44">
        <f>MID(輸入!$H$5,4,2)</f>
        <v/>
      </c>
      <c r="O3" s="44">
        <f>輸入!$S$18</f>
        <v/>
      </c>
      <c r="P3" s="129">
        <f>CONCATENATE(,輸入!$S$19,輸入!$T$19)</f>
        <v/>
      </c>
      <c r="Q3" s="956" t="n"/>
      <c r="R3" s="128" t="inlineStr">
        <is>
          <t>案由</t>
        </is>
      </c>
      <c r="S3" s="1258">
        <f>CONCATENATE(,word用!$H$2,呈報單!$G$15,"案")</f>
        <v/>
      </c>
      <c r="T3" s="1259" t="n"/>
      <c r="U3" s="1259" t="n"/>
      <c r="V3" s="1158" t="n"/>
    </row>
    <row r="4" hidden="1" ht="19.7" customHeight="1" s="683">
      <c r="A4" s="127" t="n"/>
      <c r="B4" s="125" t="n"/>
      <c r="C4" s="126" t="n"/>
      <c r="D4" s="125" t="n"/>
      <c r="E4" s="124" t="n"/>
      <c r="F4" s="123" t="n"/>
      <c r="G4" s="122" t="n"/>
      <c r="H4" s="93" t="n"/>
      <c r="I4" s="93" t="n"/>
      <c r="J4" s="93" t="n"/>
      <c r="K4" s="121" t="n"/>
      <c r="L4" s="127" t="n"/>
      <c r="M4" s="126" t="n"/>
      <c r="N4" s="126" t="n"/>
      <c r="O4" s="125" t="n"/>
      <c r="P4" s="124" t="n"/>
      <c r="Q4" s="123" t="n"/>
      <c r="R4" s="122" t="n"/>
      <c r="S4" s="93" t="n"/>
      <c r="T4" s="93" t="n"/>
      <c r="U4" s="93" t="n"/>
      <c r="V4" s="121" t="n"/>
    </row>
    <row r="5" ht="19.7" customHeight="1" s="683">
      <c r="A5" s="1266" t="inlineStr">
        <is>
          <t>編號01</t>
        </is>
      </c>
      <c r="B5" s="1267" t="n"/>
      <c r="C5" s="120" t="n"/>
      <c r="D5" s="120" t="n"/>
      <c r="E5" s="120" t="n"/>
      <c r="F5" s="120" t="n"/>
      <c r="G5" s="120" t="n"/>
      <c r="H5" s="120" t="n"/>
      <c r="I5" s="120" t="n"/>
      <c r="J5" s="120" t="n"/>
      <c r="K5" s="119" t="n"/>
      <c r="L5" s="1266" t="inlineStr">
        <is>
          <t>編號03</t>
        </is>
      </c>
      <c r="M5" s="1267" t="n"/>
      <c r="N5" s="120" t="n"/>
      <c r="O5" s="120" t="n"/>
      <c r="P5" s="120" t="n"/>
      <c r="Q5" s="120" t="n"/>
      <c r="R5" s="120" t="n"/>
      <c r="S5" s="120" t="n"/>
      <c r="T5" s="120" t="n"/>
      <c r="U5" s="120" t="n"/>
      <c r="V5" s="119" t="n"/>
    </row>
    <row r="6" ht="269.25" customHeight="1" s="683" thickBot="1">
      <c r="A6" s="1264" t="n"/>
      <c r="B6" s="669" t="n"/>
      <c r="C6" s="669" t="n"/>
      <c r="D6" s="669" t="n"/>
      <c r="E6" s="669" t="n"/>
      <c r="F6" s="669" t="n"/>
      <c r="G6" s="669" t="n"/>
      <c r="H6" s="669" t="n"/>
      <c r="I6" s="669" t="n"/>
      <c r="J6" s="669" t="n"/>
      <c r="K6" s="670" t="n"/>
      <c r="L6" s="1264" t="n"/>
      <c r="M6" s="669" t="n"/>
      <c r="N6" s="669" t="n"/>
      <c r="O6" s="669" t="n"/>
      <c r="P6" s="669" t="n"/>
      <c r="Q6" s="669" t="n"/>
      <c r="R6" s="669" t="n"/>
      <c r="S6" s="669" t="n"/>
      <c r="T6" s="669" t="n"/>
      <c r="U6" s="669" t="n"/>
      <c r="V6" s="670" t="n"/>
    </row>
    <row r="7" ht="19.7" customHeight="1" s="683">
      <c r="A7" s="1260" t="inlineStr">
        <is>
          <t>發生時間</t>
        </is>
      </c>
      <c r="B7" s="815">
        <f>CONCATENATE(LEFT(輸入!$H$5,3),"年",MID(輸入!$H$5,4,2),"月",MID(輸入!$H$5,6,2),"日   ",MID(輸入!$H$5,8,2),"時",RIGHT(輸入!$H$5,2),"分")</f>
        <v/>
      </c>
      <c r="C7" s="734" t="n"/>
      <c r="D7" s="816" t="n"/>
      <c r="E7" s="815" t="inlineStr">
        <is>
          <t>發生地點</t>
        </is>
      </c>
      <c r="F7" s="1265">
        <f>輸入!$C$7</f>
        <v/>
      </c>
      <c r="G7" s="1193" t="n"/>
      <c r="H7" s="1193" t="n"/>
      <c r="I7" s="1194" t="n"/>
      <c r="J7" s="815">
        <f>輸入!$S$24</f>
        <v/>
      </c>
      <c r="K7" s="116">
        <f>輸入!$U$24</f>
        <v/>
      </c>
      <c r="L7" s="1260" t="inlineStr">
        <is>
          <t>發生時間</t>
        </is>
      </c>
      <c r="M7" s="815">
        <f>CONCATENATE(LEFT(輸入!$H$5,3),"年",MID(輸入!$H$5,4,2),"月",MID(輸入!$H$5,6,2),"日   ",MID(輸入!$H$5,8,2),"時",RIGHT(輸入!$H$5,2),"分")</f>
        <v/>
      </c>
      <c r="N7" s="734" t="n"/>
      <c r="O7" s="816" t="n"/>
      <c r="P7" s="815" t="inlineStr">
        <is>
          <t>發生地點</t>
        </is>
      </c>
      <c r="Q7" s="1265">
        <f>輸入!$C$7</f>
        <v/>
      </c>
      <c r="R7" s="1193" t="n"/>
      <c r="S7" s="1193" t="n"/>
      <c r="T7" s="1194" t="n"/>
      <c r="U7" s="815">
        <f>輸入!$S$24</f>
        <v/>
      </c>
      <c r="V7" s="116">
        <f>輸入!$U$24</f>
        <v/>
      </c>
    </row>
    <row r="8" ht="19.7" customHeight="1" s="683">
      <c r="A8" s="1261" t="n"/>
      <c r="B8" s="584" t="n"/>
      <c r="C8" s="585" t="n"/>
      <c r="D8" s="586" t="n"/>
      <c r="E8" s="1160" t="inlineStr">
        <is>
          <t>取照地點</t>
        </is>
      </c>
      <c r="F8" s="1263">
        <f>輸入!$S$23</f>
        <v/>
      </c>
      <c r="G8" s="582" t="n"/>
      <c r="H8" s="582" t="n"/>
      <c r="I8" s="582" t="n"/>
      <c r="J8" s="582" t="n"/>
      <c r="K8" s="583" t="n"/>
      <c r="L8" s="1261" t="n"/>
      <c r="M8" s="584" t="n"/>
      <c r="N8" s="585" t="n"/>
      <c r="O8" s="586" t="n"/>
      <c r="P8" s="1160" t="inlineStr">
        <is>
          <t>取照地點</t>
        </is>
      </c>
      <c r="Q8" s="1263">
        <f>輸入!$S$23</f>
        <v/>
      </c>
      <c r="R8" s="582" t="n"/>
      <c r="S8" s="582" t="n"/>
      <c r="T8" s="582" t="n"/>
      <c r="U8" s="582" t="n"/>
      <c r="V8" s="583" t="n"/>
    </row>
    <row r="9" ht="19.7" customHeight="1" s="683">
      <c r="A9" s="1269" t="inlineStr">
        <is>
          <t>說明：警方對嫌疑人告知酒測器之合格證書。</t>
        </is>
      </c>
      <c r="B9" s="579" t="n"/>
      <c r="C9" s="579" t="n"/>
      <c r="D9" s="579" t="n"/>
      <c r="E9" s="579" t="n"/>
      <c r="F9" s="579" t="n"/>
      <c r="G9" s="579" t="n"/>
      <c r="H9" s="579" t="n"/>
      <c r="I9" s="579" t="n"/>
      <c r="J9" s="579" t="n"/>
      <c r="K9" s="1270" t="n"/>
      <c r="L9" s="1269" t="inlineStr">
        <is>
          <t>說明：酒測器施測前，與嫌疑人共同確認酒測值為 0.00 mg/L。</t>
        </is>
      </c>
      <c r="M9" s="579" t="n"/>
      <c r="N9" s="579" t="n"/>
      <c r="O9" s="579" t="n"/>
      <c r="P9" s="579" t="n"/>
      <c r="Q9" s="579" t="n"/>
      <c r="R9" s="579" t="n"/>
      <c r="S9" s="579" t="n"/>
      <c r="T9" s="579" t="n"/>
      <c r="U9" s="579" t="n"/>
      <c r="V9" s="1270" t="n"/>
    </row>
    <row r="10" ht="19.7" customHeight="1" s="683">
      <c r="A10" s="1271" t="inlineStr">
        <is>
          <t>編號02</t>
        </is>
      </c>
      <c r="C10" s="118" t="n"/>
      <c r="D10" s="118" t="n"/>
      <c r="E10" s="118" t="n"/>
      <c r="F10" s="118" t="n"/>
      <c r="G10" s="118" t="n"/>
      <c r="H10" s="118" t="n"/>
      <c r="I10" s="118" t="n"/>
      <c r="J10" s="118" t="n"/>
      <c r="K10" s="117" t="n"/>
      <c r="L10" s="1271" t="inlineStr">
        <is>
          <t>編號04</t>
        </is>
      </c>
      <c r="N10" s="118" t="n"/>
      <c r="O10" s="118" t="n"/>
      <c r="P10" s="118" t="n"/>
      <c r="Q10" s="118" t="n"/>
      <c r="R10" s="118" t="n"/>
      <c r="S10" s="118" t="n"/>
      <c r="T10" s="118" t="n"/>
      <c r="U10" s="118" t="n"/>
      <c r="V10" s="117" t="n"/>
    </row>
    <row r="11" ht="269.25" customHeight="1" s="683" thickBot="1">
      <c r="A11" s="1262" t="n"/>
      <c r="B11" s="669" t="n"/>
      <c r="C11" s="669" t="n"/>
      <c r="D11" s="669" t="n"/>
      <c r="E11" s="669" t="n"/>
      <c r="F11" s="669" t="n"/>
      <c r="G11" s="669" t="n"/>
      <c r="H11" s="669" t="n"/>
      <c r="I11" s="669" t="n"/>
      <c r="J11" s="669" t="n"/>
      <c r="K11" s="670" t="n"/>
      <c r="L11" s="1262" t="n"/>
      <c r="M11" s="669" t="n"/>
      <c r="N11" s="669" t="n"/>
      <c r="O11" s="669" t="n"/>
      <c r="P11" s="669" t="n"/>
      <c r="Q11" s="669" t="n"/>
      <c r="R11" s="669" t="n"/>
      <c r="S11" s="669" t="n"/>
      <c r="T11" s="669" t="n"/>
      <c r="U11" s="669" t="n"/>
      <c r="V11" s="670" t="n"/>
    </row>
    <row r="12" ht="19.7" customHeight="1" s="683">
      <c r="A12" s="1260" t="inlineStr">
        <is>
          <t>發生時間</t>
        </is>
      </c>
      <c r="B12" s="815">
        <f>CONCATENATE(LEFT(輸入!$H$5,3),"年",MID(輸入!$H$5,4,2),"月",MID(輸入!$H$5,6,2),"日   ",MID(輸入!$H$5,8,2),"時",RIGHT(輸入!$H$5,2),"分")</f>
        <v/>
      </c>
      <c r="C12" s="734" t="n"/>
      <c r="D12" s="816" t="n"/>
      <c r="E12" s="815" t="inlineStr">
        <is>
          <t>發生地點</t>
        </is>
      </c>
      <c r="F12" s="1265">
        <f>輸入!$C$7</f>
        <v/>
      </c>
      <c r="G12" s="1193" t="n"/>
      <c r="H12" s="1193" t="n"/>
      <c r="I12" s="1194" t="n"/>
      <c r="J12" s="815">
        <f>輸入!$S$24</f>
        <v/>
      </c>
      <c r="K12" s="116">
        <f>輸入!$U$24</f>
        <v/>
      </c>
      <c r="L12" s="1260" t="inlineStr">
        <is>
          <t>發生時間</t>
        </is>
      </c>
      <c r="M12" s="815">
        <f>CONCATENATE(LEFT(輸入!$H$5,3),"年",MID(輸入!$H$5,4,2),"月",MID(輸入!$H$5,6,2),"日   ",MID(輸入!$H$5,8,2),"時",RIGHT(輸入!$H$5,2),"分")</f>
        <v/>
      </c>
      <c r="N12" s="734" t="n"/>
      <c r="O12" s="816" t="n"/>
      <c r="P12" s="815" t="inlineStr">
        <is>
          <t>發生地點</t>
        </is>
      </c>
      <c r="Q12" s="1265">
        <f>輸入!$C$7</f>
        <v/>
      </c>
      <c r="R12" s="1193" t="n"/>
      <c r="S12" s="1193" t="n"/>
      <c r="T12" s="1194" t="n"/>
      <c r="U12" s="815">
        <f>輸入!$S$24</f>
        <v/>
      </c>
      <c r="V12" s="116">
        <f>輸入!$U$24</f>
        <v/>
      </c>
    </row>
    <row r="13" ht="19.7" customHeight="1" s="683">
      <c r="A13" s="1261" t="n"/>
      <c r="B13" s="584" t="n"/>
      <c r="C13" s="585" t="n"/>
      <c r="D13" s="586" t="n"/>
      <c r="E13" s="1160" t="inlineStr">
        <is>
          <t>取照地點</t>
        </is>
      </c>
      <c r="F13" s="1263">
        <f>輸入!$S$23</f>
        <v/>
      </c>
      <c r="G13" s="582" t="n"/>
      <c r="H13" s="582" t="n"/>
      <c r="I13" s="582" t="n"/>
      <c r="J13" s="582" t="n"/>
      <c r="K13" s="583" t="n"/>
      <c r="L13" s="1261" t="n"/>
      <c r="M13" s="584" t="n"/>
      <c r="N13" s="585" t="n"/>
      <c r="O13" s="586" t="n"/>
      <c r="P13" s="1160" t="inlineStr">
        <is>
          <t>取照地點</t>
        </is>
      </c>
      <c r="Q13" s="1263">
        <f>輸入!$S$23</f>
        <v/>
      </c>
      <c r="R13" s="582" t="n"/>
      <c r="S13" s="582" t="n"/>
      <c r="T13" s="582" t="n"/>
      <c r="U13" s="582" t="n"/>
      <c r="V13" s="583" t="n"/>
    </row>
    <row r="14" ht="19.5" customHeight="1" s="683">
      <c r="A14" s="1269" t="inlineStr">
        <is>
          <t>說明：警方對嫌疑人告知其拒測及宣讀權利。</t>
        </is>
      </c>
      <c r="B14" s="579" t="n"/>
      <c r="C14" s="579" t="n"/>
      <c r="D14" s="579" t="n"/>
      <c r="E14" s="579" t="n"/>
      <c r="F14" s="579" t="n"/>
      <c r="G14" s="579" t="n"/>
      <c r="H14" s="579" t="n"/>
      <c r="I14" s="579" t="n"/>
      <c r="J14" s="579" t="n"/>
      <c r="K14" s="1270" t="n"/>
      <c r="L14" s="1269">
        <f>CONCATENATE("說明：經施測後，為酒測值 ",輸入!$H$6," mg/L。")</f>
        <v/>
      </c>
      <c r="M14" s="579" t="n"/>
      <c r="N14" s="579" t="n"/>
      <c r="O14" s="579" t="n"/>
      <c r="P14" s="579" t="n"/>
      <c r="Q14" s="579" t="n"/>
      <c r="R14" s="579" t="n"/>
      <c r="S14" s="579" t="n"/>
      <c r="T14" s="579" t="n"/>
      <c r="U14" s="579" t="n"/>
      <c r="V14" s="1270" t="n"/>
    </row>
    <row r="21" ht="16.5" customHeight="1" s="683"/>
  </sheetData>
  <mergeCells count="34">
    <mergeCell ref="H3:K3"/>
    <mergeCell ref="L12:L13"/>
    <mergeCell ref="A7:A8"/>
    <mergeCell ref="A11:K11"/>
    <mergeCell ref="F8:K8"/>
    <mergeCell ref="A1:K1"/>
    <mergeCell ref="B7:D8"/>
    <mergeCell ref="A6:K6"/>
    <mergeCell ref="A12:A13"/>
    <mergeCell ref="F13:K13"/>
    <mergeCell ref="Q7:T7"/>
    <mergeCell ref="B12:D13"/>
    <mergeCell ref="L5:M5"/>
    <mergeCell ref="A2:A3"/>
    <mergeCell ref="Q12:T12"/>
    <mergeCell ref="L14:V14"/>
    <mergeCell ref="L11:V11"/>
    <mergeCell ref="M7:O8"/>
    <mergeCell ref="S3:V3"/>
    <mergeCell ref="F7:I7"/>
    <mergeCell ref="L10:M10"/>
    <mergeCell ref="F12:I12"/>
    <mergeCell ref="A5:B5"/>
    <mergeCell ref="L1:V1"/>
    <mergeCell ref="Q13:V13"/>
    <mergeCell ref="A14:K14"/>
    <mergeCell ref="M12:O13"/>
    <mergeCell ref="L2:L3"/>
    <mergeCell ref="L9:V9"/>
    <mergeCell ref="L6:V6"/>
    <mergeCell ref="A10:B10"/>
    <mergeCell ref="L7:L8"/>
    <mergeCell ref="Q8:V8"/>
    <mergeCell ref="A9:K9"/>
  </mergeCells>
  <printOptions horizontalCentered="1"/>
  <pageMargins left="0.7874015748031497" right="0.3937007874015748" top="0.5905511811023623" bottom="0.7086614173228347" header="0" footer="0.3937007874015748"/>
  <pageSetup orientation="portrait" paperSize="9"/>
</worksheet>
</file>

<file path=xl/worksheets/sheet52.xml><?xml version="1.0" encoding="utf-8"?>
<worksheet xmlns="http://schemas.openxmlformats.org/spreadsheetml/2006/main">
  <sheetPr codeName="工作表6">
    <tabColor rgb="FFFF0000"/>
    <outlinePr summaryBelow="1" summaryRight="1"/>
    <pageSetUpPr/>
  </sheetPr>
  <dimension ref="A2:AC19"/>
  <sheetViews>
    <sheetView showGridLines="0" showZeros="0" view="pageBreakPreview" zoomScale="85" zoomScaleNormal="100" zoomScaleSheetLayoutView="85" workbookViewId="0">
      <selection activeCell="I5" sqref="I5:O6"/>
    </sheetView>
  </sheetViews>
  <sheetFormatPr baseColWidth="8" defaultRowHeight="16.5"/>
  <cols>
    <col width="3.125" customWidth="1" style="683" min="1" max="1"/>
    <col width="1.5" customWidth="1" style="683" min="2" max="4"/>
    <col width="3.125" customWidth="1" style="683" min="5" max="39"/>
  </cols>
  <sheetData>
    <row r="1" ht="8.25" customHeight="1" s="683"/>
    <row r="2" ht="19.5" customHeight="1" s="683">
      <c r="A2" s="1" t="n"/>
      <c r="S2" s="5" t="inlineStr">
        <is>
          <t>案件編號：</t>
        </is>
      </c>
      <c r="X2" s="1291">
        <f>IF($E$7=下拉用!$C$2,調閱用!$K$24,調閱用!$K$23)</f>
        <v/>
      </c>
    </row>
    <row r="3" ht="45.75" customHeight="1" s="683">
      <c r="A3" s="1" t="n"/>
      <c r="E3" s="1284">
        <f>CONCATENATE(,輸入!$S$18,輸入!$T$18,輸入!$S$19,輸入!$T$19)</f>
        <v/>
      </c>
    </row>
    <row r="4" ht="39" customHeight="1" s="683" thickBot="1">
      <c r="A4" s="1" t="n"/>
      <c r="G4" s="1285">
        <f>CONCATENATE(,輸入!$S$20,輸入!$T$20,"刑案偵查卷宗")</f>
        <v/>
      </c>
    </row>
    <row r="5" ht="28.5" customHeight="1" s="683" thickTop="1">
      <c r="A5" s="1" t="n"/>
      <c r="E5" s="1293" t="inlineStr">
        <is>
          <t>案類</t>
        </is>
      </c>
      <c r="F5" s="933" t="n"/>
      <c r="G5" s="933" t="n"/>
      <c r="H5" s="934" t="n"/>
      <c r="I5" s="1286">
        <f>呈報單!$G$15</f>
        <v/>
      </c>
      <c r="J5" s="933" t="n"/>
      <c r="K5" s="933" t="n"/>
      <c r="L5" s="933" t="n"/>
      <c r="M5" s="933" t="n"/>
      <c r="N5" s="933" t="n"/>
      <c r="O5" s="934" t="n"/>
      <c r="P5" s="1279" t="inlineStr">
        <is>
          <t>□110</t>
        </is>
      </c>
      <c r="Q5" s="1280" t="n"/>
      <c r="R5" s="1281" t="n"/>
      <c r="S5" s="1279" t="inlineStr">
        <is>
          <t>□破獲</t>
        </is>
      </c>
      <c r="T5" s="933" t="n"/>
      <c r="U5" s="934" t="n"/>
      <c r="V5" s="1279" t="inlineStr">
        <is>
          <t>□線上立破  □傳真</t>
        </is>
      </c>
      <c r="W5" s="1280" t="n"/>
      <c r="X5" s="1280" t="n"/>
      <c r="Y5" s="1280" t="n"/>
      <c r="Z5" s="1280" t="n"/>
      <c r="AA5" s="1280" t="n"/>
      <c r="AB5" s="1280" t="n"/>
      <c r="AC5" s="1281" t="n"/>
    </row>
    <row r="6" ht="28.5" customHeight="1" s="683">
      <c r="A6" s="1" t="n"/>
      <c r="E6" s="1273" t="n"/>
      <c r="F6" s="585" t="n"/>
      <c r="G6" s="585" t="n"/>
      <c r="H6" s="586" t="n"/>
      <c r="I6" s="584" t="n"/>
      <c r="J6" s="585" t="n"/>
      <c r="K6" s="585" t="n"/>
      <c r="L6" s="585" t="n"/>
      <c r="M6" s="585" t="n"/>
      <c r="N6" s="585" t="n"/>
      <c r="O6" s="586" t="n"/>
      <c r="P6" s="1274" t="inlineStr">
        <is>
          <t>□網路</t>
        </is>
      </c>
      <c r="Q6" s="579" t="n"/>
      <c r="R6" s="576" t="n"/>
      <c r="S6" s="584" t="n"/>
      <c r="T6" s="585" t="n"/>
      <c r="U6" s="586" t="n"/>
      <c r="V6" s="1274" t="inlineStr">
        <is>
          <t>□重大            □普通</t>
        </is>
      </c>
      <c r="W6" s="579" t="n"/>
      <c r="X6" s="579" t="n"/>
      <c r="Y6" s="579" t="n"/>
      <c r="Z6" s="579" t="n"/>
      <c r="AA6" s="579" t="n"/>
      <c r="AB6" s="579" t="n"/>
      <c r="AC6" s="576" t="n"/>
    </row>
    <row r="7" ht="28.5" customHeight="1" s="683">
      <c r="A7" s="1" t="n"/>
      <c r="E7" s="1282" t="inlineStr">
        <is>
          <t>涉嫌人</t>
        </is>
      </c>
      <c r="F7" s="582" t="n"/>
      <c r="G7" s="582" t="n"/>
      <c r="H7" s="583" t="n"/>
      <c r="I7" s="1014">
        <f>IF(E7=下拉用!C3,_xlfn.TEXTJOIN("、",TRUE,輸入!#REF!),_xlfn.TEXTJOIN("、",TRUE,輸入!#REF!))</f>
        <v/>
      </c>
      <c r="J7" s="582" t="n"/>
      <c r="K7" s="582" t="n"/>
      <c r="L7" s="582" t="n"/>
      <c r="M7" s="582" t="n"/>
      <c r="N7" s="582" t="n"/>
      <c r="O7" s="583" t="n"/>
      <c r="P7" s="1274" t="inlineStr">
        <is>
          <t>□2號</t>
        </is>
      </c>
      <c r="Q7" s="579" t="n"/>
      <c r="R7" s="576" t="n"/>
      <c r="S7" s="1274" t="inlineStr">
        <is>
          <t>□發生</t>
        </is>
      </c>
      <c r="T7" s="582" t="n"/>
      <c r="U7" s="583" t="n"/>
      <c r="V7" s="619" t="inlineStr">
        <is>
          <t>單一窗口</t>
        </is>
      </c>
      <c r="W7" s="582" t="n"/>
      <c r="X7" s="582" t="n"/>
      <c r="Y7" s="583" t="n"/>
      <c r="Z7" s="1274" t="inlineStr">
        <is>
          <t>□本轉它</t>
        </is>
      </c>
      <c r="AA7" s="579" t="n"/>
      <c r="AB7" s="579" t="n"/>
      <c r="AC7" s="576" t="n"/>
    </row>
    <row r="8" ht="28.5" customHeight="1" s="683">
      <c r="A8" s="1" t="n"/>
      <c r="E8" s="1273" t="n"/>
      <c r="F8" s="585" t="n"/>
      <c r="G8" s="585" t="n"/>
      <c r="H8" s="586" t="n"/>
      <c r="I8" s="584" t="n"/>
      <c r="J8" s="585" t="n"/>
      <c r="K8" s="585" t="n"/>
      <c r="L8" s="585" t="n"/>
      <c r="M8" s="585" t="n"/>
      <c r="N8" s="585" t="n"/>
      <c r="O8" s="586" t="n"/>
      <c r="P8" s="1274" t="inlineStr">
        <is>
          <t>□民眾</t>
        </is>
      </c>
      <c r="Q8" s="579" t="n"/>
      <c r="R8" s="576" t="n"/>
      <c r="S8" s="584" t="n"/>
      <c r="T8" s="585" t="n"/>
      <c r="U8" s="586" t="n"/>
      <c r="V8" s="584" t="n"/>
      <c r="W8" s="585" t="n"/>
      <c r="X8" s="585" t="n"/>
      <c r="Y8" s="586" t="n"/>
      <c r="Z8" s="1274" t="inlineStr">
        <is>
          <t>□它轉本</t>
        </is>
      </c>
      <c r="AA8" s="579" t="n"/>
      <c r="AB8" s="579" t="n"/>
      <c r="AC8" s="576" t="n"/>
    </row>
    <row r="9" ht="28.5" customHeight="1" s="683">
      <c r="A9" s="1" t="n"/>
      <c r="E9" s="1282" t="inlineStr">
        <is>
          <t>時間</t>
        </is>
      </c>
      <c r="F9" s="582" t="n"/>
      <c r="G9" s="582" t="n"/>
      <c r="H9" s="583" t="n"/>
      <c r="I9" s="1277">
        <f>IF(ISBLANK(輸入!$C$8),"",CONCATENATE("發生：",下拉用!$J$6))</f>
        <v/>
      </c>
      <c r="J9" s="579" t="n"/>
      <c r="K9" s="579" t="n"/>
      <c r="L9" s="579" t="n"/>
      <c r="M9" s="579" t="n"/>
      <c r="N9" s="579" t="n"/>
      <c r="O9" s="579" t="n"/>
      <c r="P9" s="579" t="n"/>
      <c r="Q9" s="579" t="n"/>
      <c r="R9" s="579" t="n"/>
      <c r="S9" s="579" t="n"/>
      <c r="T9" s="579" t="n"/>
      <c r="U9" s="579" t="n"/>
      <c r="V9" s="579" t="n"/>
      <c r="W9" s="579" t="n"/>
      <c r="X9" s="579" t="n"/>
      <c r="Y9" s="579" t="n"/>
      <c r="Z9" s="579" t="n"/>
      <c r="AA9" s="579" t="n"/>
      <c r="AB9" s="579" t="n"/>
      <c r="AC9" s="1278" t="n"/>
    </row>
    <row r="10" ht="28.5" customHeight="1" s="683">
      <c r="A10" s="1" t="n"/>
      <c r="E10" s="1283" t="n"/>
      <c r="H10" s="609" t="n"/>
      <c r="I10" s="1277">
        <f>IF(ISBLANK(輸入!$C$9),"",CONCATENATE("發現：",下拉用!$J$8))</f>
        <v/>
      </c>
      <c r="J10" s="579" t="n"/>
      <c r="K10" s="579" t="n"/>
      <c r="L10" s="579" t="n"/>
      <c r="M10" s="579" t="n"/>
      <c r="N10" s="579" t="n"/>
      <c r="O10" s="579" t="n"/>
      <c r="P10" s="579" t="n"/>
      <c r="Q10" s="579" t="n"/>
      <c r="R10" s="579" t="n"/>
      <c r="S10" s="579" t="n"/>
      <c r="T10" s="579" t="n"/>
      <c r="U10" s="579" t="n"/>
      <c r="V10" s="579" t="n"/>
      <c r="W10" s="579" t="n"/>
      <c r="X10" s="579" t="n"/>
      <c r="Y10" s="579" t="n"/>
      <c r="Z10" s="579" t="n"/>
      <c r="AA10" s="579" t="n"/>
      <c r="AB10" s="579" t="n"/>
      <c r="AC10" s="1278" t="n"/>
    </row>
    <row r="11" ht="28.5" customHeight="1" s="683">
      <c r="A11" s="1" t="n"/>
      <c r="E11" s="1283" t="n"/>
      <c r="H11" s="609" t="n"/>
      <c r="I11" s="1277">
        <f>IF(ISBLANK(輸入!$C$10),"",CONCATENATE("報案：",下拉用!$J$9))</f>
        <v/>
      </c>
      <c r="J11" s="579" t="n"/>
      <c r="K11" s="579" t="n"/>
      <c r="L11" s="579" t="n"/>
      <c r="M11" s="579" t="n"/>
      <c r="N11" s="579" t="n"/>
      <c r="O11" s="579" t="n"/>
      <c r="P11" s="579" t="n"/>
      <c r="Q11" s="579" t="n"/>
      <c r="R11" s="579" t="n"/>
      <c r="S11" s="579" t="n"/>
      <c r="T11" s="579" t="n"/>
      <c r="U11" s="579" t="n"/>
      <c r="V11" s="579" t="n"/>
      <c r="W11" s="579" t="n"/>
      <c r="X11" s="579" t="n"/>
      <c r="Y11" s="579" t="n"/>
      <c r="Z11" s="579" t="n"/>
      <c r="AA11" s="579" t="n"/>
      <c r="AB11" s="579" t="n"/>
      <c r="AC11" s="1278" t="n"/>
    </row>
    <row r="12" ht="28.5" customHeight="1" s="683">
      <c r="A12" s="1" t="n"/>
      <c r="E12" s="1273" t="n"/>
      <c r="F12" s="585" t="n"/>
      <c r="G12" s="585" t="n"/>
      <c r="H12" s="586" t="n"/>
      <c r="I12" s="1277">
        <f>IF($E$7=下拉用!$C$2,CONCATENATE("查獲：",下拉用!$J$10),"")</f>
        <v/>
      </c>
      <c r="J12" s="579" t="n"/>
      <c r="K12" s="579" t="n"/>
      <c r="L12" s="579" t="n"/>
      <c r="M12" s="579" t="n"/>
      <c r="N12" s="579" t="n"/>
      <c r="O12" s="579" t="n"/>
      <c r="P12" s="579" t="n"/>
      <c r="Q12" s="579" t="n"/>
      <c r="R12" s="579" t="n"/>
      <c r="S12" s="579" t="n"/>
      <c r="T12" s="579" t="n"/>
      <c r="U12" s="579" t="n"/>
      <c r="V12" s="579" t="n"/>
      <c r="W12" s="579" t="n"/>
      <c r="X12" s="579" t="n"/>
      <c r="Y12" s="579" t="n"/>
      <c r="Z12" s="579" t="n"/>
      <c r="AA12" s="579" t="n"/>
      <c r="AB12" s="579" t="n"/>
      <c r="AC12" s="1278" t="n"/>
    </row>
    <row r="13" ht="28.5" customHeight="1" s="683">
      <c r="A13" s="1" t="n"/>
      <c r="E13" s="1276" t="inlineStr">
        <is>
          <t>地點</t>
        </is>
      </c>
      <c r="H13" s="609" t="n"/>
      <c r="I13" s="619" t="inlineStr">
        <is>
          <t>里別</t>
        </is>
      </c>
      <c r="J13" s="579" t="n"/>
      <c r="K13" s="576" t="n"/>
      <c r="L13" s="1277" t="inlineStr">
        <is>
          <t>□中山里□聚盛里□聚葉里□民安里□集英里</t>
        </is>
      </c>
      <c r="M13" s="579" t="n"/>
      <c r="N13" s="579" t="n"/>
      <c r="O13" s="579" t="n"/>
      <c r="P13" s="579" t="n"/>
      <c r="Q13" s="579" t="n"/>
      <c r="R13" s="579" t="n"/>
      <c r="S13" s="579" t="n"/>
      <c r="T13" s="579" t="n"/>
      <c r="U13" s="579" t="n"/>
      <c r="V13" s="579" t="n"/>
      <c r="W13" s="579" t="n"/>
      <c r="X13" s="579" t="n"/>
      <c r="Y13" s="579" t="n"/>
      <c r="Z13" s="579" t="n"/>
      <c r="AA13" s="579" t="n"/>
      <c r="AB13" s="579" t="n"/>
      <c r="AC13" s="1278" t="n"/>
    </row>
    <row r="14" ht="28.5" customHeight="1" s="683">
      <c r="A14" s="1" t="n"/>
      <c r="E14" s="1273" t="n"/>
      <c r="F14" s="585" t="n"/>
      <c r="G14" s="585" t="n"/>
      <c r="H14" s="586" t="n"/>
      <c r="I14" s="619" t="inlineStr">
        <is>
          <t>地段</t>
        </is>
      </c>
      <c r="J14" s="579" t="n"/>
      <c r="K14" s="576" t="n"/>
      <c r="L14" s="1274">
        <f>輸入!$C$7</f>
        <v/>
      </c>
      <c r="M14" s="579" t="n"/>
      <c r="N14" s="579" t="n"/>
      <c r="O14" s="579" t="n"/>
      <c r="P14" s="579" t="n"/>
      <c r="Q14" s="579" t="n"/>
      <c r="R14" s="579" t="n"/>
      <c r="S14" s="579" t="n"/>
      <c r="T14" s="579" t="n"/>
      <c r="U14" s="579" t="n"/>
      <c r="V14" s="579" t="n"/>
      <c r="W14" s="579" t="n"/>
      <c r="X14" s="579" t="n"/>
      <c r="Y14" s="579" t="n"/>
      <c r="Z14" s="579" t="n"/>
      <c r="AA14" s="579" t="n"/>
      <c r="AB14" s="579" t="n"/>
      <c r="AC14" s="576" t="n"/>
    </row>
    <row r="15" ht="201.75" customHeight="1" s="683">
      <c r="A15" s="1" t="n"/>
      <c r="E15" s="1272" t="inlineStr">
        <is>
          <t>歸
檔
表
單</t>
        </is>
      </c>
      <c r="F15" s="579" t="n"/>
      <c r="G15" s="579" t="n"/>
      <c r="H15" s="576" t="n"/>
      <c r="I15" s="4" t="inlineStr">
        <is>
          <t>□搜索、扣押筆錄</t>
        </is>
      </c>
      <c r="J15" s="3" t="inlineStr">
        <is>
          <t>■陳報單</t>
        </is>
      </c>
      <c r="K15" s="3" t="inlineStr">
        <is>
          <t>□臨檢表</t>
        </is>
      </c>
      <c r="L15" s="3" t="inlineStr">
        <is>
          <t>■筆錄</t>
        </is>
      </c>
      <c r="M15" s="3" t="inlineStr">
        <is>
          <t>□工作紀錄簿</t>
        </is>
      </c>
      <c r="N15" s="3" t="inlineStr">
        <is>
          <t>■權力告知書</t>
        </is>
      </c>
      <c r="O15" s="3" t="inlineStr">
        <is>
          <t>□查扣清冊</t>
        </is>
      </c>
      <c r="P15" s="3" t="inlineStr">
        <is>
          <t>□線上立破單</t>
        </is>
      </c>
      <c r="Q15" s="3" t="inlineStr">
        <is>
          <t>□通報表</t>
        </is>
      </c>
      <c r="R15" s="3" t="inlineStr">
        <is>
          <t>□調查表</t>
        </is>
      </c>
      <c r="S15" s="3" t="inlineStr">
        <is>
          <t>□領單據</t>
        </is>
      </c>
      <c r="T15" s="3" t="inlineStr">
        <is>
          <t>□訪查表</t>
        </is>
      </c>
      <c r="U15" s="3" t="inlineStr">
        <is>
          <t>□輸入電腦證明單</t>
        </is>
      </c>
      <c r="V15" s="3" t="inlineStr">
        <is>
          <t>□執行紀錄表</t>
        </is>
      </c>
      <c r="W15" s="3" t="inlineStr">
        <is>
          <t>□證明表</t>
        </is>
      </c>
      <c r="X15" s="3" t="inlineStr">
        <is>
          <t>□其它</t>
        </is>
      </c>
      <c r="Y15" s="3" t="inlineStr">
        <is>
          <t>■各式附表</t>
        </is>
      </c>
      <c r="Z15" s="3" t="inlineStr">
        <is>
          <t>□</t>
        </is>
      </c>
      <c r="AA15" s="3" t="inlineStr">
        <is>
          <t>□</t>
        </is>
      </c>
      <c r="AB15" s="3" t="inlineStr">
        <is>
          <t>□</t>
        </is>
      </c>
      <c r="AC15" s="2" t="inlineStr">
        <is>
          <t>□</t>
        </is>
      </c>
    </row>
    <row r="16" ht="37.5" customHeight="1" s="683">
      <c r="A16" s="1" t="n"/>
      <c r="E16" s="1272" t="inlineStr">
        <is>
          <t>普通竊案
（增填）</t>
        </is>
      </c>
      <c r="F16" s="579" t="n"/>
      <c r="G16" s="579" t="n"/>
      <c r="H16" s="576" t="n"/>
      <c r="I16" s="1275" t="inlineStr">
        <is>
          <t>□住宅竊案  □公司竊案  □車內財損  □其它（   ）</t>
        </is>
      </c>
      <c r="J16" s="579" t="n"/>
      <c r="K16" s="579" t="n"/>
      <c r="L16" s="579" t="n"/>
      <c r="M16" s="579" t="n"/>
      <c r="N16" s="579" t="n"/>
      <c r="O16" s="579" t="n"/>
      <c r="P16" s="579" t="n"/>
      <c r="Q16" s="579" t="n"/>
      <c r="R16" s="579" t="n"/>
      <c r="S16" s="579" t="n"/>
      <c r="T16" s="579" t="n"/>
      <c r="U16" s="579" t="n"/>
      <c r="V16" s="579" t="n"/>
      <c r="W16" s="579" t="n"/>
      <c r="X16" s="579" t="n"/>
      <c r="Y16" s="579" t="n"/>
      <c r="Z16" s="579" t="n"/>
      <c r="AA16" s="579" t="n"/>
      <c r="AB16" s="579" t="n"/>
      <c r="AC16" s="576" t="n"/>
    </row>
    <row r="17" ht="29.25" customHeight="1" s="683">
      <c r="A17" s="1" t="n"/>
      <c r="E17" s="1272" t="inlineStr">
        <is>
          <t>汽機車
（增填）</t>
        </is>
      </c>
      <c r="F17" s="582" t="n"/>
      <c r="G17" s="582" t="n"/>
      <c r="H17" s="583" t="n"/>
      <c r="I17" s="619" t="inlineStr">
        <is>
          <t>汽車</t>
        </is>
      </c>
      <c r="J17" s="579" t="n"/>
      <c r="K17" s="576" t="n"/>
      <c r="L17" s="619" t="inlineStr">
        <is>
          <t>機車</t>
        </is>
      </c>
      <c r="M17" s="579" t="n"/>
      <c r="N17" s="579" t="n"/>
      <c r="O17" s="576" t="n"/>
      <c r="P17" s="619" t="inlineStr">
        <is>
          <t>廠牌</t>
        </is>
      </c>
      <c r="Q17" s="579" t="n"/>
      <c r="R17" s="576" t="n"/>
      <c r="S17" s="619" t="inlineStr">
        <is>
          <t>年份</t>
        </is>
      </c>
      <c r="T17" s="579" t="n"/>
      <c r="U17" s="576" t="n"/>
      <c r="V17" s="619" t="inlineStr">
        <is>
          <t>三四聯單號碼</t>
        </is>
      </c>
      <c r="W17" s="579" t="n"/>
      <c r="X17" s="579" t="n"/>
      <c r="Y17" s="579" t="n"/>
      <c r="Z17" s="579" t="n"/>
      <c r="AA17" s="579" t="n"/>
      <c r="AB17" s="579" t="n"/>
      <c r="AC17" s="576" t="n"/>
    </row>
    <row r="18" ht="29.25" customHeight="1" s="683">
      <c r="A18" s="1" t="n"/>
      <c r="E18" s="1273" t="n"/>
      <c r="F18" s="585" t="n"/>
      <c r="G18" s="585" t="n"/>
      <c r="H18" s="586" t="n"/>
      <c r="I18" s="956" t="n"/>
      <c r="J18" s="579" t="n"/>
      <c r="K18" s="576" t="n"/>
      <c r="L18" s="956" t="n"/>
      <c r="M18" s="579" t="n"/>
      <c r="N18" s="579" t="n"/>
      <c r="O18" s="576" t="n"/>
      <c r="P18" s="956" t="n"/>
      <c r="Q18" s="579" t="n"/>
      <c r="R18" s="576" t="n"/>
      <c r="S18" s="956" t="n"/>
      <c r="T18" s="579" t="n"/>
      <c r="U18" s="576" t="n"/>
      <c r="V18" s="1340">
        <f>UPPER(輸入!$C$13)</f>
        <v/>
      </c>
      <c r="W18" s="579" t="n"/>
      <c r="X18" s="579" t="n"/>
      <c r="Y18" s="579" t="n"/>
      <c r="Z18" s="579" t="n"/>
      <c r="AA18" s="579" t="n"/>
      <c r="AB18" s="579" t="n"/>
      <c r="AC18" s="576" t="n"/>
    </row>
    <row r="19" ht="40.5" customHeight="1" s="683" thickBot="1">
      <c r="A19" s="1" t="n"/>
      <c r="E19" s="1290" t="inlineStr">
        <is>
          <t>承辦
員警</t>
        </is>
      </c>
      <c r="F19" s="1288" t="n"/>
      <c r="G19" s="1288" t="n"/>
      <c r="H19" s="1289" t="n"/>
      <c r="I19" s="1287">
        <f>CONCATENATE(輸入!$T$24," ",輸入!$O$8)</f>
        <v/>
      </c>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9" t="n"/>
    </row>
    <row r="20" ht="17.25" customHeight="1" s="683" thickTop="1"/>
  </sheetData>
  <mergeCells count="44">
    <mergeCell ref="P8:R8"/>
    <mergeCell ref="V17:AC17"/>
    <mergeCell ref="E17:H18"/>
    <mergeCell ref="I16:AC16"/>
    <mergeCell ref="E13:H14"/>
    <mergeCell ref="E16:H16"/>
    <mergeCell ref="I18:K18"/>
    <mergeCell ref="P17:R17"/>
    <mergeCell ref="I7:O8"/>
    <mergeCell ref="L14:AC14"/>
    <mergeCell ref="V5:AC5"/>
    <mergeCell ref="P7:R7"/>
    <mergeCell ref="I12:AC12"/>
    <mergeCell ref="I14:K14"/>
    <mergeCell ref="L17:O17"/>
    <mergeCell ref="E9:H12"/>
    <mergeCell ref="P18:R18"/>
    <mergeCell ref="I17:K17"/>
    <mergeCell ref="E3:AC3"/>
    <mergeCell ref="G4:AA4"/>
    <mergeCell ref="I5:O6"/>
    <mergeCell ref="V6:AC6"/>
    <mergeCell ref="S7:U8"/>
    <mergeCell ref="I13:K13"/>
    <mergeCell ref="P5:R5"/>
    <mergeCell ref="I10:AC10"/>
    <mergeCell ref="I19:AC19"/>
    <mergeCell ref="Z7:AC7"/>
    <mergeCell ref="V7:Y8"/>
    <mergeCell ref="E7:H8"/>
    <mergeCell ref="E19:H19"/>
    <mergeCell ref="L18:O18"/>
    <mergeCell ref="X2:AC2"/>
    <mergeCell ref="I9:AC9"/>
    <mergeCell ref="V18:AC18"/>
    <mergeCell ref="S5:U6"/>
    <mergeCell ref="Z8:AC8"/>
    <mergeCell ref="S18:U18"/>
    <mergeCell ref="I11:AC11"/>
    <mergeCell ref="E15:H15"/>
    <mergeCell ref="S17:U17"/>
    <mergeCell ref="L13:AC13"/>
    <mergeCell ref="P6:R6"/>
    <mergeCell ref="E5:H6"/>
  </mergeCells>
  <pageMargins left="0.7" right="0.7" top="0.75" bottom="0.75" header="0.3" footer="0.3"/>
  <pageSetup orientation="portrait" paperSize="9" scale="98"/>
  <colBreaks count="1" manualBreakCount="1">
    <brk id="30" min="0" max="18" man="1"/>
  </colBreaks>
</worksheet>
</file>

<file path=xl/worksheets/sheet53.xml><?xml version="1.0" encoding="utf-8"?>
<worksheet xmlns="http://schemas.openxmlformats.org/spreadsheetml/2006/main">
  <sheetPr codeName="工作表25">
    <outlinePr summaryBelow="1" summaryRight="1"/>
    <pageSetUpPr/>
  </sheetPr>
  <dimension ref="A1:S17"/>
  <sheetViews>
    <sheetView view="pageLayout" zoomScaleNormal="100" workbookViewId="0">
      <selection activeCell="D18" sqref="D18"/>
    </sheetView>
  </sheetViews>
  <sheetFormatPr baseColWidth="8" defaultColWidth="9" defaultRowHeight="16.5"/>
  <cols>
    <col width="5.5" customWidth="1" style="704" min="1" max="1"/>
    <col width="4" customWidth="1" style="1156" min="2" max="2"/>
    <col width="10" customWidth="1" style="704" min="3" max="3"/>
    <col width="4" customWidth="1" style="704" min="4" max="4"/>
    <col width="18.5" customWidth="1" style="704" min="5" max="5"/>
    <col width="6" customWidth="1" style="704" min="6" max="6"/>
    <col width="5.5" customWidth="1" style="704" min="7" max="7"/>
    <col width="4.875" customWidth="1" style="704" min="8" max="8"/>
    <col width="33.125" customWidth="1" style="704" min="9" max="9"/>
    <col width="9" customWidth="1" style="704" min="10" max="11"/>
    <col width="9" customWidth="1" style="704" min="12" max="16384"/>
  </cols>
  <sheetData>
    <row r="1" ht="36.75" customHeight="1" s="683">
      <c r="A1" s="1299">
        <f>CONCATENATE(,輸入!$S$18,輸入!$T$18,輸入!$S$19,輸入!$T$19,輸入!$S$20,輸入!$T$20,"  受理案件資料檢核表")</f>
        <v/>
      </c>
      <c r="B1" s="579" t="n"/>
      <c r="C1" s="579" t="n"/>
      <c r="D1" s="579" t="n"/>
      <c r="E1" s="579" t="n"/>
      <c r="F1" s="579" t="n"/>
      <c r="G1" s="579" t="n"/>
      <c r="H1" s="579" t="n"/>
      <c r="I1" s="576" t="n"/>
      <c r="J1" s="778" t="n"/>
      <c r="K1" s="778" t="n"/>
      <c r="L1" s="778" t="n"/>
      <c r="M1" s="778" t="n"/>
      <c r="N1" s="778" t="n"/>
      <c r="O1" s="778" t="n"/>
      <c r="P1" s="778" t="n"/>
      <c r="Q1" s="778" t="n"/>
      <c r="R1" s="778" t="n"/>
      <c r="S1" s="778" t="n"/>
    </row>
    <row r="2" ht="36.75" customHeight="1" s="683">
      <c r="A2" s="581" t="inlineStr">
        <is>
          <t>名稱</t>
        </is>
      </c>
      <c r="B2" s="576" t="n"/>
      <c r="C2" s="1300" t="inlineStr">
        <is>
          <t>ㄧ般刑事案件</t>
        </is>
      </c>
      <c r="D2" s="579" t="n"/>
      <c r="E2" s="579" t="n"/>
      <c r="F2" s="576" t="n"/>
      <c r="G2" s="581" t="inlineStr">
        <is>
          <t>日期</t>
        </is>
      </c>
      <c r="H2" s="576" t="n"/>
      <c r="I2" s="581">
        <f>LEFT(下拉用!$J$9,10)</f>
        <v/>
      </c>
      <c r="J2" s="778" t="n"/>
      <c r="K2" s="778" t="n"/>
      <c r="L2" s="778" t="n"/>
      <c r="M2" s="778" t="n"/>
      <c r="N2" s="778" t="n"/>
      <c r="O2" s="778" t="n"/>
      <c r="P2" s="778" t="n"/>
      <c r="Q2" s="778" t="n"/>
      <c r="R2" s="778" t="n"/>
      <c r="S2" s="778" t="n"/>
    </row>
    <row r="3" ht="29.25" customHeight="1" s="683">
      <c r="A3" s="1297" t="inlineStr">
        <is>
          <t>案類/檢核(V)</t>
        </is>
      </c>
      <c r="B3" s="576" t="n"/>
      <c r="C3" s="1294">
        <f>CONCATENATE(word用!$H$2,"遭詐欺案")</f>
        <v/>
      </c>
      <c r="D3" s="579" t="n"/>
      <c r="E3" s="579" t="n"/>
      <c r="F3" s="576" t="n"/>
      <c r="G3" s="581" t="inlineStr">
        <is>
          <t>檢核(V)</t>
        </is>
      </c>
      <c r="H3" s="576" t="n"/>
      <c r="I3" s="581" t="inlineStr">
        <is>
          <t>備考(說明)</t>
        </is>
      </c>
      <c r="J3" s="778" t="n"/>
      <c r="K3" s="778" t="n"/>
      <c r="L3" s="778" t="n"/>
      <c r="M3" s="778" t="n"/>
      <c r="N3" s="778" t="n"/>
      <c r="O3" s="778" t="n"/>
      <c r="P3" s="778" t="n"/>
      <c r="Q3" s="778" t="n"/>
      <c r="R3" s="778" t="n"/>
      <c r="S3" s="778" t="n"/>
    </row>
    <row r="4" ht="33.95" customHeight="1" s="683">
      <c r="A4" s="581" t="inlineStr">
        <is>
          <t>V</t>
        </is>
      </c>
      <c r="B4" s="581" t="n">
        <v>1</v>
      </c>
      <c r="C4" s="657">
        <f>CONCATENATE("陳報單(案號：",word用!#REF!,")")</f>
        <v/>
      </c>
      <c r="D4" s="579" t="n"/>
      <c r="E4" s="579" t="n"/>
      <c r="F4" s="576" t="n"/>
      <c r="G4" s="581" t="inlineStr">
        <is>
          <t>V</t>
        </is>
      </c>
      <c r="H4" s="581" t="n">
        <v>6</v>
      </c>
      <c r="I4" s="657" t="inlineStr">
        <is>
          <t>報案人身分證明文件</t>
        </is>
      </c>
      <c r="J4" s="778" t="n"/>
      <c r="K4" s="778" t="n"/>
      <c r="L4" s="778" t="n"/>
      <c r="M4" s="778" t="n"/>
      <c r="N4" s="778" t="n"/>
      <c r="O4" s="778" t="n"/>
      <c r="P4" s="778" t="n"/>
      <c r="Q4" s="778" t="n"/>
      <c r="R4" s="778" t="n"/>
      <c r="S4" s="778" t="n"/>
    </row>
    <row r="5" ht="36.75" customHeight="1" s="683">
      <c r="A5" s="581" t="inlineStr">
        <is>
          <t>V</t>
        </is>
      </c>
      <c r="B5" s="581" t="n">
        <v>2</v>
      </c>
      <c r="C5" s="657" t="inlineStr">
        <is>
          <t>受理各類案件紀錄表</t>
        </is>
      </c>
      <c r="D5" s="579" t="n"/>
      <c r="E5" s="579" t="n"/>
      <c r="F5" s="576" t="n"/>
      <c r="G5" s="581" t="n"/>
      <c r="H5" s="581" t="n">
        <v>7</v>
      </c>
      <c r="I5" s="657" t="inlineStr">
        <is>
          <t>*監視錄影器影像畫面(□截圖 □光碟)</t>
        </is>
      </c>
      <c r="J5" s="778" t="n"/>
      <c r="K5" s="778" t="n"/>
      <c r="L5" s="778" t="n"/>
      <c r="M5" s="778" t="n"/>
      <c r="N5" s="778" t="n"/>
      <c r="O5" s="778" t="n"/>
      <c r="P5" s="778" t="n"/>
      <c r="Q5" s="778" t="n"/>
      <c r="R5" s="778" t="n"/>
      <c r="S5" s="778" t="n"/>
    </row>
    <row r="6" ht="53.85" customHeight="1" s="683">
      <c r="A6" s="581" t="inlineStr">
        <is>
          <t>V</t>
        </is>
      </c>
      <c r="B6" s="581" t="n">
        <v>3</v>
      </c>
      <c r="C6" s="657" t="inlineStr">
        <is>
          <t>受(處)理案件證明單(1式三份)</t>
        </is>
      </c>
      <c r="D6" s="579" t="n"/>
      <c r="E6" s="579" t="n"/>
      <c r="F6" s="576" t="n"/>
      <c r="G6" s="581" t="n"/>
      <c r="H6" s="581" t="n">
        <v>8</v>
      </c>
      <c r="I6" s="657" t="inlineStr">
        <is>
          <t>*真實姓名對照表(性騷擾、強制性交、性交猥褻等案類或其他使用代號案件)</t>
        </is>
      </c>
      <c r="J6" s="778" t="n"/>
      <c r="K6" s="778" t="n"/>
      <c r="L6" s="778" t="n"/>
      <c r="M6" s="778" t="n"/>
      <c r="N6" s="778" t="n"/>
      <c r="O6" s="778" t="n"/>
      <c r="P6" s="778" t="n"/>
      <c r="Q6" s="778" t="n"/>
      <c r="R6" s="778" t="n"/>
      <c r="S6" s="778" t="n"/>
    </row>
    <row r="7" ht="31.35" customHeight="1" s="683">
      <c r="A7" s="581" t="inlineStr">
        <is>
          <t>V</t>
        </is>
      </c>
      <c r="B7" s="581" t="n">
        <v>4</v>
      </c>
      <c r="C7" s="657" t="inlineStr">
        <is>
          <t>筆錄</t>
        </is>
      </c>
      <c r="D7" s="579" t="n"/>
      <c r="E7" s="579" t="n"/>
      <c r="F7" s="576" t="n"/>
      <c r="G7" s="581" t="n"/>
      <c r="H7" s="581" t="n">
        <v>9</v>
      </c>
      <c r="I7" s="657" t="inlineStr">
        <is>
          <t>被害人(告訴人)戶籍資料</t>
        </is>
      </c>
      <c r="J7" s="778" t="n"/>
      <c r="K7" s="778" t="n"/>
      <c r="L7" s="778" t="n"/>
      <c r="M7" s="778" t="n"/>
      <c r="N7" s="778" t="n"/>
      <c r="O7" s="778" t="n"/>
      <c r="P7" s="778" t="n"/>
      <c r="Q7" s="778" t="n"/>
      <c r="R7" s="778" t="n"/>
      <c r="S7" s="778" t="n"/>
    </row>
    <row r="8" ht="36.75" customHeight="1" s="683" thickBot="1">
      <c r="A8" s="1160" t="inlineStr">
        <is>
          <t>V</t>
        </is>
      </c>
      <c r="B8" s="1160" t="n">
        <v>5</v>
      </c>
      <c r="C8" s="797" t="inlineStr">
        <is>
          <t>刑案紀錄表(1份+1份筆錄)</t>
        </is>
      </c>
      <c r="D8" s="582" t="n"/>
      <c r="E8" s="582" t="n"/>
      <c r="F8" s="583" t="n"/>
      <c r="G8" s="1160" t="n"/>
      <c r="H8" s="1160" t="n">
        <v>10</v>
      </c>
      <c r="I8" s="797" t="inlineStr">
        <is>
          <t>*犯罪嫌疑人(被告)戶籍資料及刑案資料</t>
        </is>
      </c>
      <c r="J8" s="778" t="n"/>
      <c r="K8" s="778" t="n"/>
      <c r="L8" s="778" t="n"/>
      <c r="M8" s="778" t="n"/>
      <c r="N8" s="778" t="n"/>
      <c r="O8" s="778" t="n"/>
      <c r="P8" s="778" t="n"/>
      <c r="Q8" s="778" t="n"/>
      <c r="R8" s="778" t="n"/>
      <c r="S8" s="778" t="n"/>
    </row>
    <row r="9" ht="25.5" customHeight="1" s="683" thickTop="1">
      <c r="A9" s="158" t="n"/>
      <c r="B9" s="1298" t="n">
        <v>11</v>
      </c>
      <c r="C9" s="1298" t="inlineStr">
        <is>
          <t>*詐欺案類(165反詐騙諮詢專線紀錄表)</t>
        </is>
      </c>
      <c r="D9" s="1259" t="n"/>
      <c r="E9" s="1259" t="n"/>
      <c r="F9" s="1259" t="n"/>
      <c r="G9" s="1259" t="n"/>
      <c r="H9" s="1259" t="n"/>
      <c r="I9" s="1147" t="n"/>
      <c r="J9" s="593" t="n"/>
      <c r="K9" s="778" t="n"/>
      <c r="L9" s="778" t="n"/>
      <c r="M9" s="778" t="n"/>
      <c r="N9" s="778" t="n"/>
      <c r="O9" s="778" t="n"/>
      <c r="P9" s="778" t="n"/>
      <c r="Q9" s="778" t="n"/>
      <c r="R9" s="778" t="n"/>
      <c r="S9" s="778" t="n"/>
    </row>
    <row r="10" ht="39.6" customHeight="1" s="683">
      <c r="A10" s="242" t="inlineStr">
        <is>
          <t>V</t>
        </is>
      </c>
      <c r="B10" s="581" t="n">
        <v>12</v>
      </c>
      <c r="C10" s="657" t="inlineStr">
        <is>
          <t>是否受騙欄位勾選(切勿誤植勾選否)</t>
        </is>
      </c>
      <c r="D10" s="579" t="n"/>
      <c r="E10" s="579" t="n"/>
      <c r="F10" s="576" t="n"/>
      <c r="G10" s="581" t="n"/>
      <c r="H10" s="581" t="n">
        <v>18</v>
      </c>
      <c r="I10" s="159" t="inlineStr">
        <is>
          <t>是否設定二層警示帳戶，並上傳相關附件?</t>
        </is>
      </c>
      <c r="J10" s="778" t="n"/>
      <c r="K10" s="778" t="n"/>
      <c r="L10" s="778" t="n"/>
      <c r="M10" s="778" t="n"/>
      <c r="N10" s="778" t="n"/>
      <c r="O10" s="778" t="n"/>
      <c r="P10" s="778" t="n"/>
      <c r="Q10" s="778" t="n"/>
      <c r="R10" s="778" t="n"/>
      <c r="S10" s="778" t="n"/>
    </row>
    <row r="11" ht="73.7" customHeight="1" s="683">
      <c r="A11" s="242" t="inlineStr">
        <is>
          <t>V</t>
        </is>
      </c>
      <c r="B11" s="581" t="n">
        <v>13</v>
      </c>
      <c r="C11" s="657" t="inlineStr">
        <is>
          <t>案情內容簡短(文字敘述至少3行，建議使用範本匯入)</t>
        </is>
      </c>
      <c r="D11" s="579" t="n"/>
      <c r="E11" s="579" t="n"/>
      <c r="F11" s="576" t="n"/>
      <c r="G11" s="581" t="n"/>
      <c r="H11" s="581" t="n">
        <v>19</v>
      </c>
      <c r="I11" s="159" t="inlineStr">
        <is>
          <t>是否填寫受話號碼(接獲詐騙電話之被害人門號，非詐騙電話+886……)及是否填寫疑似竄改門號(即詐騙電話+886……)?</t>
        </is>
      </c>
      <c r="J11" s="778" t="n"/>
      <c r="K11" s="778" t="n"/>
      <c r="L11" s="778" t="n"/>
      <c r="M11" s="778" t="n"/>
      <c r="N11" s="778" t="n"/>
      <c r="O11" s="778" t="n"/>
      <c r="P11" s="778" t="n"/>
      <c r="Q11" s="778" t="n"/>
      <c r="R11" s="778" t="n"/>
      <c r="S11" s="778" t="n"/>
    </row>
    <row r="12" ht="39.6" customHeight="1" s="683">
      <c r="A12" s="242" t="inlineStr">
        <is>
          <t>V</t>
        </is>
      </c>
      <c r="B12" s="581" t="n">
        <v>14</v>
      </c>
      <c r="C12" s="657" t="inlineStr">
        <is>
          <t>有無完成後續處理?
(處理時間、報案證明單單號勿缺漏)</t>
        </is>
      </c>
      <c r="D12" s="579" t="n"/>
      <c r="E12" s="579" t="n"/>
      <c r="F12" s="576" t="n"/>
      <c r="G12" s="581" t="n"/>
      <c r="H12" s="581" t="n">
        <v>20</v>
      </c>
      <c r="I12" s="159" t="inlineStr">
        <is>
          <t>是否輸入詐騙電話、冒用機構(請填輸電商名稱，非銀行名稱)</t>
        </is>
      </c>
      <c r="J12" s="778" t="n"/>
      <c r="K12" s="778" t="n"/>
      <c r="L12" s="778" t="n"/>
      <c r="M12" s="778" t="n"/>
      <c r="N12" s="778" t="n"/>
      <c r="O12" s="778" t="n"/>
      <c r="P12" s="778" t="n"/>
      <c r="Q12" s="778" t="n"/>
      <c r="R12" s="778" t="n"/>
      <c r="S12" s="778" t="n"/>
    </row>
    <row r="13" ht="45.2" customHeight="1" s="683">
      <c r="A13" s="242" t="n"/>
      <c r="B13" s="581" t="n">
        <v>15</v>
      </c>
      <c r="C13" s="657" t="inlineStr">
        <is>
          <t>財損大於100萬元、假投資(涉及虛擬通貨)案類是否使用預製筆錄?</t>
        </is>
      </c>
      <c r="D13" s="579" t="n"/>
      <c r="E13" s="579" t="n"/>
      <c r="F13" s="576" t="n"/>
      <c r="G13" s="581" t="n"/>
      <c r="H13" s="581" t="n">
        <v>21</v>
      </c>
      <c r="I13" s="159" t="inlineStr">
        <is>
          <t>是否填寫涉案LINE或Telegram ID?</t>
        </is>
      </c>
      <c r="J13" s="778" t="n"/>
      <c r="K13" s="778" t="n"/>
      <c r="L13" s="778" t="n"/>
      <c r="M13" s="778" t="n"/>
      <c r="N13" s="778" t="n"/>
      <c r="O13" s="778" t="n"/>
      <c r="P13" s="778" t="n"/>
      <c r="Q13" s="778" t="n"/>
      <c r="R13" s="778" t="n"/>
      <c r="S13" s="778" t="n"/>
    </row>
    <row r="14" ht="65.09999999999999" customHeight="1" s="683">
      <c r="A14" s="242" t="n"/>
      <c r="B14" s="581" t="n">
        <v>16</v>
      </c>
      <c r="C14" s="657" t="inlineStr">
        <is>
          <t>被害人有無臨櫃匯款?  筆錄有無詢問臨櫃匯款 3 問句?(何處匯款?行員是否關懷提問?歹徒有無教導閃避說詞?)</t>
        </is>
      </c>
      <c r="D14" s="579" t="n"/>
      <c r="E14" s="579" t="n"/>
      <c r="F14" s="576" t="n"/>
      <c r="G14" s="581" t="n"/>
      <c r="H14" s="581" t="n">
        <v>22</v>
      </c>
      <c r="I14" s="159" t="inlineStr">
        <is>
          <t>是否填寫詐騙標的?網站名稱?投資網址? 詐騙電子錢包?</t>
        </is>
      </c>
      <c r="J14" s="778" t="n"/>
      <c r="K14" s="778" t="n"/>
      <c r="L14" s="778" t="n"/>
      <c r="M14" s="778" t="n"/>
      <c r="N14" s="778" t="n"/>
      <c r="O14" s="778" t="n"/>
      <c r="P14" s="778" t="n"/>
      <c r="Q14" s="778" t="n"/>
      <c r="R14" s="778" t="n"/>
      <c r="S14" s="778" t="n"/>
    </row>
    <row r="15" ht="56.85" customHeight="1" s="683" thickBot="1">
      <c r="A15" s="243" t="inlineStr">
        <is>
          <t>V</t>
        </is>
      </c>
      <c r="B15" s="160" t="n">
        <v>17</v>
      </c>
      <c r="C15" s="1295" t="inlineStr">
        <is>
          <t>是否上傳受理卷宗?</t>
        </is>
      </c>
      <c r="D15" s="1296" t="n"/>
      <c r="E15" s="1296" t="n"/>
      <c r="F15" s="1145" t="n"/>
      <c r="G15" s="160" t="n"/>
      <c r="H15" s="160" t="n">
        <v>23</v>
      </c>
      <c r="I15" s="161" t="inlineStr">
        <is>
          <t>境外匯款是否輸入詐騙帳號?(銀行代碼111)及國際匯款代碼?(swift code)</t>
        </is>
      </c>
      <c r="J15" s="778" t="n"/>
      <c r="K15" s="778" t="n"/>
      <c r="L15" s="778" t="n"/>
      <c r="M15" s="778" t="n"/>
      <c r="N15" s="778" t="n"/>
      <c r="O15" s="778" t="n"/>
      <c r="P15" s="778" t="n"/>
      <c r="Q15" s="778" t="n"/>
      <c r="R15" s="778" t="n"/>
      <c r="S15" s="778" t="n"/>
    </row>
    <row r="16" ht="45.2" customHeight="1" s="683" thickTop="1">
      <c r="A16" s="1237" t="n"/>
      <c r="B16" s="805" t="inlineStr">
        <is>
          <t>填表說明
(注意事項)</t>
        </is>
      </c>
      <c r="C16" s="586" t="n"/>
      <c r="D16" s="1237" t="n"/>
      <c r="E16" s="1140" t="inlineStr">
        <is>
          <t>一、未註明*之項目皆為每案必附資料。</t>
        </is>
      </c>
      <c r="F16" s="585" t="n"/>
      <c r="G16" s="585" t="n"/>
      <c r="H16" s="585" t="n"/>
      <c r="I16" s="586" t="n"/>
      <c r="J16" s="778" t="n"/>
      <c r="K16" s="778" t="n"/>
      <c r="L16" s="778" t="n"/>
      <c r="M16" s="778" t="n"/>
      <c r="N16" s="778" t="n"/>
      <c r="O16" s="778" t="n"/>
      <c r="P16" s="778" t="n"/>
      <c r="Q16" s="778" t="n"/>
      <c r="R16" s="778" t="n"/>
      <c r="S16" s="778" t="n"/>
    </row>
    <row r="17" ht="45.2" customHeight="1" s="683">
      <c r="A17" s="657" t="n"/>
      <c r="B17" s="581" t="inlineStr">
        <is>
          <t>承辦員警</t>
        </is>
      </c>
      <c r="C17" s="576" t="n"/>
      <c r="D17" s="581">
        <f>輸入!$O$8</f>
        <v/>
      </c>
      <c r="E17" s="576" t="n"/>
      <c r="F17" s="657" t="n"/>
      <c r="G17" s="581" t="inlineStr">
        <is>
          <t>單位主管</t>
        </is>
      </c>
      <c r="H17" s="576" t="n"/>
      <c r="I17" s="657" t="n"/>
      <c r="J17" s="778" t="n"/>
      <c r="K17" s="778" t="n"/>
      <c r="L17" s="778" t="n"/>
      <c r="M17" s="778" t="n"/>
      <c r="N17" s="778" t="n"/>
      <c r="O17" s="778" t="n"/>
      <c r="P17" s="778" t="n"/>
      <c r="Q17" s="778" t="n"/>
      <c r="R17" s="778" t="n"/>
      <c r="S17" s="778" t="n"/>
    </row>
  </sheetData>
  <mergeCells count="24">
    <mergeCell ref="B16:C16"/>
    <mergeCell ref="C8:F8"/>
    <mergeCell ref="G2:H2"/>
    <mergeCell ref="C7:F7"/>
    <mergeCell ref="G17:H17"/>
    <mergeCell ref="C13:F13"/>
    <mergeCell ref="C3:F3"/>
    <mergeCell ref="C6:F6"/>
    <mergeCell ref="C15:F15"/>
    <mergeCell ref="B17:C17"/>
    <mergeCell ref="C5:F5"/>
    <mergeCell ref="D17:E17"/>
    <mergeCell ref="A3:B3"/>
    <mergeCell ref="G3:H3"/>
    <mergeCell ref="C14:F14"/>
    <mergeCell ref="A2:B2"/>
    <mergeCell ref="C4:F4"/>
    <mergeCell ref="C10:F10"/>
    <mergeCell ref="C9:I9"/>
    <mergeCell ref="E16:I16"/>
    <mergeCell ref="C12:F12"/>
    <mergeCell ref="A1:I1"/>
    <mergeCell ref="C11:F11"/>
    <mergeCell ref="C2:F2"/>
  </mergeCells>
  <pageMargins left="0.5118110236220472" right="0.5118110236220472" top="0.8661417322834646" bottom="0.7480314960629921" header="0.4724409448818898" footer="0.3149606299212598"/>
  <pageSetup orientation="portrait" paperSize="9"/>
  <headerFooter>
    <oddHeader>&amp;L&amp;"標楷體,標準"編號：5（受理ㄧ般刑事案件）&amp;R&amp;KFF0000112.04.07製表</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Administrator</dc:creator>
  <dcterms:created xmlns:dcterms="http://purl.org/dc/terms/" xmlns:xsi="http://www.w3.org/2001/XMLSchema-instance" xsi:type="dcterms:W3CDTF">2023-01-20T13:26:56Z</dcterms:created>
  <dcterms:modified xmlns:dcterms="http://purl.org/dc/terms/" xmlns:xsi="http://www.w3.org/2001/XMLSchema-instance" xsi:type="dcterms:W3CDTF">2026-10-25T20:48:53Z</dcterms:modified>
  <cp:lastModifiedBy>yungtang</cp:lastModifiedBy>
  <cp:lastPrinted>2026-08-01T11:02:07Z</cp:lastPrinted>
</cp:coreProperties>
</file>